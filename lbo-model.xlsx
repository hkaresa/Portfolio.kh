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10.xml" ContentType="application/vnd.openxmlformats-officedocument.spreadsheetml.worksheet+xml"/>
  <Override PartName="/xl/drawings/drawing6.xml" ContentType="application/vnd.openxmlformats-officedocument.drawing+xml"/>
  <Override PartName="/xl/comments/comment6.xml" ContentType="application/vnd.openxmlformats-officedocument.spreadsheetml.comments+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14940" windowHeight="15760" tabRatio="953" firstSheet="8" activeTab="8" autoFilterDateGrouping="1"/>
  </bookViews>
  <sheets>
    <sheet xmlns:r="http://schemas.openxmlformats.org/officeDocument/2006/relationships" name="OLD" sheetId="1" state="hidden" r:id="rId1"/>
    <sheet xmlns:r="http://schemas.openxmlformats.org/officeDocument/2006/relationships" name="Frametastic -&gt;" sheetId="2" state="visible" r:id="rId2"/>
    <sheet xmlns:r="http://schemas.openxmlformats.org/officeDocument/2006/relationships" name="1. P&amp;L" sheetId="3" state="visible" r:id="rId3"/>
    <sheet xmlns:r="http://schemas.openxmlformats.org/officeDocument/2006/relationships" name="2. Working Capital &amp; Capex" sheetId="4" state="visible" r:id="rId4"/>
    <sheet xmlns:r="http://schemas.openxmlformats.org/officeDocument/2006/relationships" name="3. FCFF &amp; FCFE" sheetId="5" state="visible" r:id="rId5"/>
    <sheet xmlns:r="http://schemas.openxmlformats.org/officeDocument/2006/relationships" name="4. Valuation" sheetId="6" state="visible" r:id="rId6"/>
    <sheet xmlns:r="http://schemas.openxmlformats.org/officeDocument/2006/relationships" name="Star Hotel -&gt;" sheetId="7" state="visible" r:id="rId7"/>
    <sheet xmlns:r="http://schemas.openxmlformats.org/officeDocument/2006/relationships" name="Key Assumptions" sheetId="8" state="visible" r:id="rId8"/>
    <sheet xmlns:r="http://schemas.openxmlformats.org/officeDocument/2006/relationships" name="Valuation_15%IRR" sheetId="9" state="visible" r:id="rId9"/>
    <sheet xmlns:r="http://schemas.openxmlformats.org/officeDocument/2006/relationships" name="Valuation_10%IRR " sheetId="10" state="visible" r:id="rId10"/>
    <sheet xmlns:r="http://schemas.openxmlformats.org/officeDocument/2006/relationships" name="Mobico -&gt;" sheetId="11" state="visible" r:id="rId11"/>
    <sheet xmlns:r="http://schemas.openxmlformats.org/officeDocument/2006/relationships" name="P&amp;L" sheetId="12" state="visible" r:id="rId12"/>
    <sheet xmlns:r="http://schemas.openxmlformats.org/officeDocument/2006/relationships" name="Working Capital &amp; Capex" sheetId="13" state="visible" r:id="rId13"/>
    <sheet xmlns:r="http://schemas.openxmlformats.org/officeDocument/2006/relationships" name="FCFF &amp; FCFE" sheetId="14" state="visible" r:id="rId14"/>
    <sheet xmlns:r="http://schemas.openxmlformats.org/officeDocument/2006/relationships" name="Valuations" sheetId="15" state="visible" r:id="rId15"/>
  </sheets>
  <definedNames/>
  <calcPr calcId="191028" fullCalcOnLoad="1" iterateDelta="0.0001"/>
</workbook>
</file>

<file path=xl/styles.xml><?xml version="1.0" encoding="utf-8"?>
<styleSheet xmlns="http://schemas.openxmlformats.org/spreadsheetml/2006/main">
  <numFmts count="16">
    <numFmt numFmtId="164" formatCode="0.0%"/>
    <numFmt numFmtId="165" formatCode="_ * #,##0_ ;_ * \-#,##0_ ;_ * &quot;-&quot;??_ ;_ @_ "/>
    <numFmt numFmtId="166" formatCode="_-* #,##0_-;\-* #,##0_-;_-* &quot;-&quot;??_-;_-@_-"/>
    <numFmt numFmtId="167" formatCode="_-* #,##0.0_-;\-* #,##0.0_-;_-* &quot;-&quot;??_-;_-@_-"/>
    <numFmt numFmtId="168" formatCode="_(* #,##0.0_);_(* \(#,##0.0\);_(* &quot;-&quot;??_);_(@_)"/>
    <numFmt numFmtId="169" formatCode="#.0,,&quot;M&quot;"/>
    <numFmt numFmtId="170" formatCode="#,,&quot;M&quot;"/>
    <numFmt numFmtId="171" formatCode="#,,\ &quot;m&quot;"/>
    <numFmt numFmtId="172" formatCode="_-* #,##0.00_-;\-* #,##0.00_-;_-* &quot;-&quot;??_-;_-@_-"/>
    <numFmt numFmtId="173" formatCode="0.000%"/>
    <numFmt numFmtId="174" formatCode="_(* #,##0.0_);_(* \(#,##0.0\);_(* &quot;-&quot;?_);_(@_)"/>
    <numFmt numFmtId="175" formatCode="_(* #,##0_);_(* \(#,##0\);_(* &quot;-&quot;??_);_(@_)"/>
    <numFmt numFmtId="176" formatCode="#.0,,\ &quot;m&quot;"/>
    <numFmt numFmtId="177" formatCode="_ * #,##0.00_ ;_ * \-#,##0.00_ ;_ * &quot;-&quot;??_ ;_ @_ "/>
    <numFmt numFmtId="178" formatCode="0.0"/>
    <numFmt numFmtId="179" formatCode="_(* #,##0.000_);_(* \(#,##0.000\);_(* &quot;-&quot;??_);_(@_)"/>
  </numFmts>
  <fonts count="44">
    <font>
      <name val="Calibri"/>
      <family val="2"/>
      <color theme="1"/>
      <sz val="11"/>
      <scheme val="minor"/>
    </font>
    <font>
      <name val="Calibri"/>
      <family val="2"/>
      <color theme="1"/>
      <sz val="12"/>
      <scheme val="minor"/>
    </font>
    <font>
      <name val="Calibri"/>
      <family val="2"/>
      <color theme="1"/>
      <sz val="11"/>
      <scheme val="minor"/>
    </font>
    <font>
      <name val="Calibri"/>
      <family val="2"/>
      <b val="1"/>
      <color theme="0"/>
      <sz val="11"/>
      <scheme val="minor"/>
    </font>
    <font>
      <name val="Calibri"/>
      <family val="2"/>
      <color theme="0"/>
      <sz val="11"/>
      <scheme val="minor"/>
    </font>
    <font>
      <name val="Calibri"/>
      <family val="2"/>
      <color theme="0" tint="-0.3499862666707358"/>
      <sz val="11"/>
      <scheme val="minor"/>
    </font>
    <font>
      <name val="Calibri"/>
      <family val="2"/>
      <color theme="1"/>
      <sz val="12"/>
      <scheme val="minor"/>
    </font>
    <font>
      <name val="Calibri"/>
      <family val="2"/>
      <b val="1"/>
      <color theme="0"/>
      <sz val="12"/>
      <scheme val="minor"/>
    </font>
    <font>
      <name val="Calibri"/>
      <family val="2"/>
      <i val="1"/>
      <color theme="1"/>
      <sz val="12"/>
      <scheme val="minor"/>
    </font>
    <font>
      <name val="Calibri"/>
      <family val="2"/>
      <b val="1"/>
      <color theme="1"/>
      <sz val="12"/>
      <scheme val="minor"/>
    </font>
    <font>
      <name val="Calibri"/>
      <family val="2"/>
      <i val="1"/>
      <color theme="1"/>
      <sz val="11"/>
      <scheme val="minor"/>
    </font>
    <font>
      <name val="Calibri"/>
      <family val="2"/>
      <b val="1"/>
      <i val="1"/>
      <color theme="0"/>
      <sz val="12"/>
      <scheme val="minor"/>
    </font>
    <font>
      <name val="Calibri"/>
      <family val="2"/>
      <color theme="0"/>
      <sz val="12"/>
      <scheme val="minor"/>
    </font>
    <font>
      <name val="Calibri"/>
      <family val="2"/>
      <b val="1"/>
      <i val="1"/>
      <color theme="1"/>
      <sz val="12"/>
      <scheme val="minor"/>
    </font>
    <font>
      <name val="Calibri"/>
      <family val="2"/>
      <color rgb="FF0070C0"/>
      <sz val="12"/>
      <scheme val="minor"/>
    </font>
    <font>
      <name val="Calibri"/>
      <family val="2"/>
      <i val="1"/>
      <color rgb="FF0070C0"/>
      <sz val="11"/>
      <scheme val="minor"/>
    </font>
    <font>
      <name val="Calibri"/>
      <family val="2"/>
      <color rgb="FF0000FF"/>
      <sz val="12"/>
      <scheme val="minor"/>
    </font>
    <font>
      <name val="Calibri"/>
      <family val="2"/>
      <b val="1"/>
      <sz val="12"/>
      <scheme val="minor"/>
    </font>
    <font>
      <name val="Calibri"/>
      <family val="2"/>
      <sz val="12"/>
      <scheme val="minor"/>
    </font>
    <font>
      <name val="Calibri"/>
      <family val="2"/>
      <i val="1"/>
      <color theme="0"/>
      <sz val="11"/>
      <scheme val="minor"/>
    </font>
    <font>
      <name val="Calibri"/>
      <family val="2"/>
      <i val="1"/>
      <color theme="0"/>
      <sz val="11"/>
    </font>
    <font>
      <name val="Calibri"/>
      <family val="2"/>
      <b val="1"/>
      <i val="1"/>
      <color theme="1"/>
      <sz val="11"/>
      <scheme val="minor"/>
    </font>
    <font>
      <name val="Calibri"/>
      <family val="2"/>
      <color rgb="FF0000FF"/>
      <sz val="11"/>
      <scheme val="minor"/>
    </font>
    <font>
      <name val="Tahoma"/>
      <family val="2"/>
      <color indexed="81"/>
      <sz val="9"/>
    </font>
    <font>
      <name val="Tahoma"/>
      <family val="2"/>
      <color rgb="FF000000"/>
      <sz val="9"/>
    </font>
    <font>
      <name val="Calibri"/>
      <family val="2"/>
      <color theme="10"/>
      <sz val="11"/>
      <u val="single"/>
      <scheme val="minor"/>
    </font>
    <font>
      <name val="Calibri"/>
      <family val="2"/>
      <b val="1"/>
      <color theme="3"/>
      <sz val="26"/>
      <scheme val="minor"/>
    </font>
    <font>
      <name val="Calibri"/>
      <family val="2"/>
      <b val="1"/>
      <color rgb="FFFF0000"/>
      <sz val="12"/>
      <scheme val="minor"/>
    </font>
    <font>
      <name val="Calibri"/>
      <family val="2"/>
      <color rgb="FFFF0000"/>
      <sz val="12"/>
      <scheme val="minor"/>
    </font>
    <font>
      <name val="Calibri"/>
      <family val="2"/>
      <i val="1"/>
      <color theme="1"/>
      <sz val="10"/>
      <scheme val="minor"/>
    </font>
    <font>
      <name val="Calibri"/>
      <family val="2"/>
      <color theme="1"/>
      <sz val="12"/>
    </font>
    <font>
      <name val="Calibri"/>
      <family val="2"/>
      <b val="1"/>
      <color theme="1"/>
      <sz val="12"/>
    </font>
    <font>
      <name val="Calibri"/>
      <family val="2"/>
      <color rgb="FF000000"/>
      <sz val="13.5"/>
      <scheme val="minor"/>
    </font>
    <font>
      <name val="Calibri"/>
      <family val="2"/>
      <color rgb="FFFF0000"/>
      <sz val="10"/>
      <scheme val="minor"/>
    </font>
    <font>
      <name val="Calibri"/>
      <family val="2"/>
      <i val="1"/>
      <color theme="1"/>
      <sz val="12"/>
      <u val="single"/>
      <scheme val="minor"/>
    </font>
    <font>
      <name val="Calibri"/>
      <b val="1"/>
      <color rgb="FF000000"/>
      <sz val="12"/>
    </font>
    <font>
      <name val="Calibri"/>
      <color rgb="FF000000"/>
      <sz val="12"/>
    </font>
    <font>
      <name val="Calibri"/>
      <charset val="1"/>
      <family val="2"/>
      <color rgb="FF000000"/>
      <sz val="12"/>
    </font>
    <font>
      <name val="Calibri"/>
      <family val="2"/>
      <i val="1"/>
      <color rgb="FFFF0000"/>
      <sz val="10"/>
      <scheme val="minor"/>
    </font>
    <font>
      <name val="Calibri"/>
      <family val="2"/>
      <i val="1"/>
      <color rgb="FFFF0000"/>
      <sz val="11"/>
      <scheme val="minor"/>
    </font>
    <font>
      <name val="Calibri"/>
      <family val="2"/>
      <color rgb="FFFF0000"/>
      <sz val="11"/>
      <scheme val="minor"/>
    </font>
    <font>
      <name val="Calibri"/>
      <family val="2"/>
      <b val="1"/>
      <color theme="0"/>
      <sz val="16"/>
      <scheme val="minor"/>
    </font>
    <font>
      <name val="Calibri"/>
      <family val="2"/>
      <b val="1"/>
      <color theme="1"/>
      <sz val="11"/>
      <scheme val="minor"/>
    </font>
    <font>
      <name val="Calibri"/>
      <family val="2"/>
      <color theme="3"/>
      <sz val="26"/>
      <scheme val="minor"/>
    </font>
  </fonts>
  <fills count="15">
    <fill>
      <patternFill/>
    </fill>
    <fill>
      <patternFill patternType="gray125"/>
    </fill>
    <fill>
      <patternFill patternType="solid">
        <fgColor theme="3" tint="-0.499984740745262"/>
        <bgColor indexed="64"/>
      </patternFill>
    </fill>
    <fill>
      <patternFill patternType="solid">
        <fgColor rgb="FF0070C0"/>
        <bgColor indexed="64"/>
      </patternFill>
    </fill>
    <fill>
      <patternFill patternType="solid">
        <fgColor rgb="FFD1EBFF"/>
        <bgColor indexed="64"/>
      </patternFill>
    </fill>
    <fill>
      <patternFill patternType="solid">
        <fgColor rgb="FF009999"/>
        <bgColor indexed="64"/>
      </patternFill>
    </fill>
    <fill>
      <patternFill patternType="solid">
        <fgColor theme="9" tint="0.7999816888943144"/>
        <bgColor indexed="64"/>
      </patternFill>
    </fill>
    <fill>
      <patternFill patternType="solid">
        <fgColor theme="9" tint="0.5999938962981048"/>
        <bgColor indexed="64"/>
      </patternFill>
    </fill>
    <fill>
      <patternFill patternType="solid">
        <fgColor rgb="FFFDE9D9"/>
        <bgColor indexed="64"/>
      </patternFill>
    </fill>
    <fill>
      <patternFill patternType="solid">
        <fgColor theme="5" tint="0.7999816888943144"/>
        <bgColor indexed="64"/>
      </patternFill>
    </fill>
    <fill>
      <patternFill patternType="solid">
        <fgColor rgb="FFFFFF00"/>
        <bgColor indexed="64"/>
      </patternFill>
    </fill>
    <fill>
      <patternFill patternType="solid">
        <fgColor theme="0"/>
        <bgColor indexed="64"/>
      </patternFill>
    </fill>
    <fill>
      <patternFill patternType="solid">
        <fgColor theme="5"/>
        <bgColor indexed="64"/>
      </patternFill>
    </fill>
    <fill>
      <patternFill patternType="solid">
        <fgColor theme="3"/>
        <bgColor indexed="64"/>
      </patternFill>
    </fill>
    <fill>
      <patternFill patternType="solid">
        <fgColor theme="4" tint="0.7999816888943144"/>
        <bgColor indexed="64"/>
      </patternFill>
    </fill>
  </fills>
  <borders count="50">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theme="0"/>
      </right>
      <top/>
      <bottom style="thin">
        <color theme="0"/>
      </bottom>
      <diagonal/>
    </border>
    <border>
      <left/>
      <right/>
      <top/>
      <bottom style="thin">
        <color theme="0"/>
      </bottom>
      <diagonal/>
    </border>
    <border>
      <left/>
      <right style="thin">
        <color theme="0"/>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style="thin">
        <color indexed="64"/>
      </bottom>
      <diagonal/>
    </border>
    <border>
      <left style="dotted">
        <color indexed="64"/>
      </left>
      <right style="dotted">
        <color indexed="64"/>
      </right>
      <top style="dotted">
        <color indexed="64"/>
      </top>
      <bottom style="dotted">
        <color indexed="64"/>
      </bottom>
      <diagonal/>
    </border>
    <border>
      <left/>
      <right/>
      <top style="dotted">
        <color indexed="64"/>
      </top>
      <bottom/>
      <diagonal/>
    </border>
    <border>
      <left/>
      <right style="dotted">
        <color theme="0"/>
      </right>
      <top/>
      <bottom style="thin">
        <color theme="0"/>
      </bottom>
      <diagonal/>
    </border>
    <border>
      <left style="dotted">
        <color indexed="64"/>
      </left>
      <right style="dotted">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theme="0"/>
      </left>
      <right/>
      <top/>
      <bottom style="thin">
        <color theme="0"/>
      </bottom>
      <diagonal/>
    </border>
    <border>
      <left style="thin">
        <color theme="0"/>
      </left>
      <right/>
      <top/>
      <bottom/>
      <diagonal/>
    </border>
    <border>
      <left style="thin">
        <color theme="0"/>
      </left>
      <right/>
      <top style="thin">
        <color theme="0"/>
      </top>
      <bottom/>
      <diagonal/>
    </border>
    <border>
      <left style="dotted">
        <color indexed="64"/>
      </left>
      <right style="dotted">
        <color indexed="64"/>
      </right>
      <top style="dotted">
        <color indexed="64"/>
      </top>
      <bottom style="thin">
        <color indexed="64"/>
      </bottom>
      <diagonal/>
    </border>
    <border>
      <left/>
      <right/>
      <top style="thin">
        <color indexed="64"/>
      </top>
      <bottom/>
      <diagonal/>
    </border>
    <border>
      <left style="thin">
        <color rgb="FF000000"/>
      </left>
      <right/>
      <top/>
      <bottom style="thin">
        <color rgb="FF000000"/>
      </bottom>
      <diagonal/>
    </border>
    <border>
      <left/>
      <right/>
      <top/>
      <bottom style="thin">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rgb="FF000000"/>
      </top>
      <bottom/>
      <diagonal/>
    </border>
    <border>
      <left/>
      <right/>
      <top style="medium">
        <color rgb="FF000000"/>
      </top>
      <bottom/>
      <diagonal/>
    </border>
    <border>
      <left/>
      <right style="medium">
        <color indexed="64"/>
      </right>
      <top style="medium">
        <color rgb="FF000000"/>
      </top>
      <bottom/>
      <diagonal/>
    </border>
    <border>
      <left/>
      <right style="dotted">
        <color indexed="64"/>
      </right>
      <top style="dotted">
        <color indexed="64"/>
      </top>
      <bottom style="dotted">
        <color indexed="64"/>
      </bottom>
      <diagonal/>
    </border>
    <border>
      <left style="medium">
        <color rgb="FF000000"/>
      </left>
      <right/>
      <top style="medium">
        <color rgb="FF000000"/>
      </top>
      <bottom/>
      <diagonal/>
    </border>
    <border>
      <left style="dashed">
        <color rgb="FF000000"/>
      </left>
      <right style="medium">
        <color rgb="FF000000"/>
      </right>
      <top style="medium">
        <color rgb="FF000000"/>
      </top>
      <bottom/>
      <diagonal/>
    </border>
    <border>
      <left style="dashed">
        <color rgb="FF000000"/>
      </left>
      <right style="medium">
        <color rgb="FF000000"/>
      </right>
      <top/>
      <bottom/>
      <diagonal/>
    </border>
    <border>
      <left style="dashed">
        <color rgb="FF000000"/>
      </left>
      <right style="medium">
        <color rgb="FF000000"/>
      </right>
      <top/>
      <bottom style="medium">
        <color rgb="FF000000"/>
      </bottom>
      <diagonal/>
    </border>
    <border>
      <left style="medium">
        <color indexed="64"/>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s>
  <cellStyleXfs count="5">
    <xf numFmtId="0" fontId="2" fillId="0" borderId="0"/>
    <xf numFmtId="9" fontId="2" fillId="0" borderId="0"/>
    <xf numFmtId="177" fontId="2" fillId="0" borderId="0"/>
    <xf numFmtId="41" fontId="2" fillId="0" borderId="0"/>
    <xf numFmtId="0" fontId="25" fillId="0" borderId="0"/>
  </cellStyleXfs>
  <cellXfs count="425">
    <xf numFmtId="0" fontId="0" fillId="0" borderId="0" pivotButton="0" quotePrefix="0" xfId="0"/>
    <xf numFmtId="0" fontId="4" fillId="2" borderId="0" pivotButton="0" quotePrefix="0" xfId="0"/>
    <xf numFmtId="0" fontId="3" fillId="2" borderId="0" pivotButton="0" quotePrefix="0" xfId="0"/>
    <xf numFmtId="0" fontId="5" fillId="0" borderId="0" pivotButton="0" quotePrefix="0" xfId="0"/>
    <xf numFmtId="0" fontId="0" fillId="0" borderId="0" applyAlignment="1" pivotButton="0" quotePrefix="0" xfId="0">
      <alignment horizontal="right"/>
    </xf>
    <xf numFmtId="9" fontId="0" fillId="0" borderId="0" pivotButton="0" quotePrefix="0" xfId="1"/>
    <xf numFmtId="0" fontId="0" fillId="0" borderId="0" applyAlignment="1" pivotButton="0" quotePrefix="0" xfId="0">
      <alignment horizontal="left"/>
    </xf>
    <xf numFmtId="0" fontId="6" fillId="0" borderId="0" pivotButton="0" quotePrefix="0" xfId="0"/>
    <xf numFmtId="0" fontId="9" fillId="0" borderId="8" pivotButton="0" quotePrefix="0" xfId="0"/>
    <xf numFmtId="0" fontId="7" fillId="0" borderId="14" pivotButton="0" quotePrefix="0" xfId="0"/>
    <xf numFmtId="0" fontId="7" fillId="0" borderId="0" pivotButton="0" quotePrefix="0" xfId="0"/>
    <xf numFmtId="0" fontId="9" fillId="0" borderId="0" pivotButton="0" quotePrefix="0" xfId="0"/>
    <xf numFmtId="0" fontId="10" fillId="0" borderId="0" pivotButton="0" quotePrefix="0" xfId="0"/>
    <xf numFmtId="0" fontId="11" fillId="0" borderId="0" applyAlignment="1" pivotButton="0" quotePrefix="0" xfId="0">
      <alignment horizontal="center"/>
    </xf>
    <xf numFmtId="1" fontId="9" fillId="0" borderId="8" pivotButton="0" quotePrefix="0" xfId="0"/>
    <xf numFmtId="1" fontId="9" fillId="0" borderId="9" pivotButton="0" quotePrefix="0" xfId="0"/>
    <xf numFmtId="0" fontId="6" fillId="0" borderId="0" applyAlignment="1" pivotButton="0" quotePrefix="0" xfId="0">
      <alignment horizontal="center"/>
    </xf>
    <xf numFmtId="0" fontId="7" fillId="0" borderId="0" applyAlignment="1" pivotButton="0" quotePrefix="0" xfId="0">
      <alignment horizontal="center"/>
    </xf>
    <xf numFmtId="0" fontId="14" fillId="0" borderId="0" pivotButton="0" quotePrefix="0" xfId="0"/>
    <xf numFmtId="0" fontId="15" fillId="0" borderId="0" pivotButton="0" quotePrefix="0" xfId="0"/>
    <xf numFmtId="9" fontId="10" fillId="0" borderId="0" pivotButton="0" quotePrefix="0" xfId="1"/>
    <xf numFmtId="164" fontId="10" fillId="0" borderId="0" pivotButton="0" quotePrefix="0" xfId="1"/>
    <xf numFmtId="164" fontId="10" fillId="0" borderId="0" applyAlignment="1" pivotButton="0" quotePrefix="0" xfId="1">
      <alignment horizontal="right"/>
    </xf>
    <xf numFmtId="0" fontId="7" fillId="0" borderId="15" pivotButton="0" quotePrefix="0" xfId="0"/>
    <xf numFmtId="0" fontId="7" fillId="0" borderId="14" applyAlignment="1" pivotButton="0" quotePrefix="0" xfId="0">
      <alignment horizontal="centerContinuous"/>
    </xf>
    <xf numFmtId="0" fontId="7" fillId="3" borderId="6" applyAlignment="1" pivotButton="0" quotePrefix="0" xfId="0">
      <alignment horizontal="centerContinuous"/>
    </xf>
    <xf numFmtId="0" fontId="7" fillId="3" borderId="5" applyAlignment="1" pivotButton="0" quotePrefix="0" xfId="0">
      <alignment horizontal="centerContinuous"/>
    </xf>
    <xf numFmtId="0" fontId="7" fillId="3" borderId="7" applyAlignment="1" pivotButton="0" quotePrefix="0" xfId="0">
      <alignment horizontal="center"/>
    </xf>
    <xf numFmtId="1" fontId="16" fillId="4" borderId="20" pivotButton="0" quotePrefix="0" xfId="0"/>
    <xf numFmtId="0" fontId="7" fillId="5" borderId="0" pivotButton="0" quotePrefix="0" xfId="0"/>
    <xf numFmtId="0" fontId="7" fillId="3" borderId="0" applyAlignment="1" pivotButton="0" quotePrefix="0" xfId="0">
      <alignment horizontal="center"/>
    </xf>
    <xf numFmtId="0" fontId="12" fillId="3" borderId="6" applyAlignment="1" pivotButton="0" quotePrefix="0" xfId="0">
      <alignment horizontal="centerContinuous"/>
    </xf>
    <xf numFmtId="164" fontId="16" fillId="4" borderId="20" applyAlignment="1" pivotButton="0" quotePrefix="0" xfId="0">
      <alignment horizontal="center"/>
    </xf>
    <xf numFmtId="10" fontId="16" fillId="4" borderId="20" applyAlignment="1" pivotButton="0" quotePrefix="0" xfId="1">
      <alignment horizontal="center"/>
    </xf>
    <xf numFmtId="165" fontId="9" fillId="0" borderId="0" pivotButton="0" quotePrefix="0" xfId="2"/>
    <xf numFmtId="0" fontId="7" fillId="3" borderId="22" applyAlignment="1" pivotButton="0" quotePrefix="0" xfId="0">
      <alignment horizontal="centerContinuous"/>
    </xf>
    <xf numFmtId="0" fontId="13" fillId="0" borderId="10" pivotButton="0" quotePrefix="0" xfId="0"/>
    <xf numFmtId="0" fontId="8" fillId="0" borderId="10" pivotButton="0" quotePrefix="0" xfId="0"/>
    <xf numFmtId="0" fontId="9" fillId="0" borderId="17" pivotButton="0" quotePrefix="0" xfId="0"/>
    <xf numFmtId="0" fontId="11" fillId="3" borderId="0" pivotButton="0" quotePrefix="0" xfId="0"/>
    <xf numFmtId="0" fontId="7" fillId="5" borderId="14" pivotButton="0" quotePrefix="0" xfId="0"/>
    <xf numFmtId="1" fontId="9" fillId="0" borderId="10" pivotButton="0" quotePrefix="0" xfId="0"/>
    <xf numFmtId="0" fontId="19" fillId="3" borderId="0" pivotButton="0" quotePrefix="0" xfId="0"/>
    <xf numFmtId="0" fontId="7" fillId="5" borderId="11" pivotButton="0" quotePrefix="0" xfId="0"/>
    <xf numFmtId="0" fontId="7" fillId="5" borderId="12" pivotButton="0" quotePrefix="0" xfId="0"/>
    <xf numFmtId="0" fontId="7" fillId="5" borderId="13" pivotButton="0" quotePrefix="0" xfId="0"/>
    <xf numFmtId="0" fontId="17" fillId="6" borderId="2" applyAlignment="1" pivotButton="0" quotePrefix="0" xfId="0">
      <alignment horizontal="centerContinuous"/>
    </xf>
    <xf numFmtId="0" fontId="18" fillId="6" borderId="3" applyAlignment="1" pivotButton="0" quotePrefix="0" xfId="0">
      <alignment horizontal="centerContinuous"/>
    </xf>
    <xf numFmtId="1" fontId="16" fillId="0" borderId="0" pivotButton="0" quotePrefix="0" xfId="0"/>
    <xf numFmtId="0" fontId="16" fillId="0" borderId="0" pivotButton="0" quotePrefix="0" xfId="0"/>
    <xf numFmtId="0" fontId="11" fillId="3" borderId="0" applyAlignment="1" pivotButton="0" quotePrefix="0" xfId="0">
      <alignment horizontal="center"/>
    </xf>
    <xf numFmtId="0" fontId="7" fillId="5" borderId="0" applyAlignment="1" pivotButton="0" quotePrefix="0" xfId="0">
      <alignment horizontal="center"/>
    </xf>
    <xf numFmtId="0" fontId="9" fillId="0" borderId="0" applyAlignment="1" pivotButton="0" quotePrefix="0" xfId="0">
      <alignment horizontal="center"/>
    </xf>
    <xf numFmtId="0" fontId="21" fillId="0" borderId="0" applyAlignment="1" pivotButton="0" quotePrefix="0" xfId="0">
      <alignment horizontal="center"/>
    </xf>
    <xf numFmtId="0" fontId="10" fillId="0" borderId="0" applyAlignment="1" pivotButton="0" quotePrefix="0" xfId="0">
      <alignment horizontal="center"/>
    </xf>
    <xf numFmtId="0" fontId="0" fillId="0" borderId="0" applyAlignment="1" pivotButton="0" quotePrefix="0" xfId="0">
      <alignment horizontal="center"/>
    </xf>
    <xf numFmtId="0" fontId="7" fillId="5" borderId="12" applyAlignment="1" pivotButton="0" quotePrefix="0" xfId="0">
      <alignment horizontal="center"/>
    </xf>
    <xf numFmtId="0" fontId="9" fillId="0" borderId="1" pivotButton="0" quotePrefix="0" xfId="0"/>
    <xf numFmtId="1" fontId="9" fillId="0" borderId="1" pivotButton="0" quotePrefix="0" xfId="0"/>
    <xf numFmtId="1" fontId="17" fillId="0" borderId="0" pivotButton="0" quotePrefix="0" xfId="0"/>
    <xf numFmtId="164" fontId="22" fillId="4" borderId="20" pivotButton="0" quotePrefix="0" xfId="1"/>
    <xf numFmtId="0" fontId="8" fillId="0" borderId="14" pivotButton="0" quotePrefix="0" xfId="0"/>
    <xf numFmtId="0" fontId="10" fillId="0" borderId="0" applyAlignment="1" pivotButton="0" quotePrefix="0" xfId="0">
      <alignment horizontal="centerContinuous"/>
    </xf>
    <xf numFmtId="165" fontId="17" fillId="7" borderId="24" applyAlignment="1" pivotButton="0" quotePrefix="0" xfId="2">
      <alignment horizontal="centerContinuous"/>
    </xf>
    <xf numFmtId="1" fontId="16" fillId="4" borderId="20" applyAlignment="1" pivotButton="0" quotePrefix="0" xfId="0">
      <alignment horizontal="right"/>
    </xf>
    <xf numFmtId="0" fontId="8" fillId="0" borderId="0" pivotButton="0" quotePrefix="0" xfId="0"/>
    <xf numFmtId="1" fontId="18" fillId="0" borderId="0" pivotButton="0" quotePrefix="0" xfId="0"/>
    <xf numFmtId="0" fontId="18" fillId="0" borderId="0" applyAlignment="1" pivotButton="0" quotePrefix="0" xfId="0">
      <alignment horizontal="left"/>
    </xf>
    <xf numFmtId="0" fontId="17" fillId="0" borderId="0" applyAlignment="1" pivotButton="0" quotePrefix="0" xfId="0">
      <alignment horizontal="left" vertical="top"/>
    </xf>
    <xf numFmtId="0" fontId="17" fillId="0" borderId="10" applyAlignment="1" pivotButton="0" quotePrefix="0" xfId="0">
      <alignment horizontal="left" vertical="top"/>
    </xf>
    <xf numFmtId="0" fontId="16" fillId="0" borderId="10" applyAlignment="1" pivotButton="0" quotePrefix="0" xfId="1">
      <alignment horizontal="center"/>
    </xf>
    <xf numFmtId="1" fontId="18" fillId="6" borderId="0" pivotButton="0" quotePrefix="0" xfId="0"/>
    <xf numFmtId="0" fontId="17" fillId="6" borderId="26" applyAlignment="1" pivotButton="0" quotePrefix="0" xfId="0">
      <alignment horizontal="centerContinuous"/>
    </xf>
    <xf numFmtId="1" fontId="16" fillId="4" borderId="20" applyAlignment="1" pivotButton="0" quotePrefix="0" xfId="1">
      <alignment horizontal="center"/>
    </xf>
    <xf numFmtId="0" fontId="1" fillId="0" borderId="0" pivotButton="0" quotePrefix="0" xfId="0"/>
    <xf numFmtId="1" fontId="1" fillId="0" borderId="0" pivotButton="0" quotePrefix="0" xfId="0"/>
    <xf numFmtId="41" fontId="16" fillId="4" borderId="20" pivotButton="0" quotePrefix="0" xfId="0"/>
    <xf numFmtId="1" fontId="16" fillId="4" borderId="23" pivotButton="0" quotePrefix="0" xfId="0"/>
    <xf numFmtId="1" fontId="18" fillId="6" borderId="25" pivotButton="0" quotePrefix="0" xfId="0"/>
    <xf numFmtId="1" fontId="18" fillId="6" borderId="18" pivotButton="0" quotePrefix="0" xfId="0"/>
    <xf numFmtId="0" fontId="9" fillId="0" borderId="0" applyAlignment="1" pivotButton="0" quotePrefix="0" xfId="0">
      <alignment horizontal="left" vertical="top"/>
    </xf>
    <xf numFmtId="1" fontId="1" fillId="0" borderId="0" applyAlignment="1" pivotButton="0" quotePrefix="0" xfId="1">
      <alignment horizontal="center"/>
    </xf>
    <xf numFmtId="10" fontId="1" fillId="0" borderId="0" applyAlignment="1" pivotButton="0" quotePrefix="0" xfId="1">
      <alignment horizontal="center"/>
    </xf>
    <xf numFmtId="1" fontId="9" fillId="0" borderId="0" pivotButton="0" quotePrefix="0" xfId="0"/>
    <xf numFmtId="0" fontId="9" fillId="0" borderId="0" applyAlignment="1" pivotButton="0" quotePrefix="0" xfId="0">
      <alignment vertical="top"/>
    </xf>
    <xf numFmtId="0" fontId="26" fillId="0" borderId="0" pivotButton="0" quotePrefix="0" xfId="0"/>
    <xf numFmtId="0" fontId="1" fillId="0" borderId="11" pivotButton="0" quotePrefix="0" xfId="0"/>
    <xf numFmtId="0" fontId="1" fillId="0" borderId="12" pivotButton="0" quotePrefix="0" xfId="0"/>
    <xf numFmtId="0" fontId="1" fillId="0" borderId="13" pivotButton="0" quotePrefix="0" xfId="0"/>
    <xf numFmtId="0" fontId="1" fillId="0" borderId="14" pivotButton="0" quotePrefix="0" xfId="0"/>
    <xf numFmtId="0" fontId="27" fillId="0" borderId="0" pivotButton="0" quotePrefix="0" xfId="0"/>
    <xf numFmtId="0" fontId="1" fillId="0" borderId="15" pivotButton="0" quotePrefix="0" xfId="0"/>
    <xf numFmtId="0" fontId="28" fillId="0" borderId="0" pivotButton="0" quotePrefix="0" xfId="0"/>
    <xf numFmtId="0" fontId="28" fillId="0" borderId="0" pivotButton="0" quotePrefix="1" xfId="0"/>
    <xf numFmtId="0" fontId="17" fillId="0" borderId="0" applyAlignment="1" pivotButton="0" quotePrefix="0" xfId="0">
      <alignment horizontal="centerContinuous"/>
    </xf>
    <xf numFmtId="0" fontId="12" fillId="0" borderId="0" applyAlignment="1" pivotButton="0" quotePrefix="0" xfId="0">
      <alignment horizontal="centerContinuous"/>
    </xf>
    <xf numFmtId="0" fontId="7" fillId="5" borderId="15" pivotButton="0" quotePrefix="0" xfId="0"/>
    <xf numFmtId="0" fontId="7" fillId="3" borderId="27" applyAlignment="1" pivotButton="0" quotePrefix="0" xfId="0">
      <alignment horizontal="centerContinuous"/>
    </xf>
    <xf numFmtId="0" fontId="7" fillId="3" borderId="28" applyAlignment="1" pivotButton="0" quotePrefix="0" xfId="0">
      <alignment horizontal="center"/>
    </xf>
    <xf numFmtId="0" fontId="7" fillId="3" borderId="29" applyAlignment="1" pivotButton="0" quotePrefix="0" xfId="0">
      <alignment horizontal="center"/>
    </xf>
    <xf numFmtId="0" fontId="9" fillId="0" borderId="0" applyAlignment="1" pivotButton="0" quotePrefix="0" xfId="0">
      <alignment horizontal="left"/>
    </xf>
    <xf numFmtId="0" fontId="1" fillId="0" borderId="0" applyAlignment="1" pivotButton="0" quotePrefix="0" xfId="0">
      <alignment horizontal="right"/>
    </xf>
    <xf numFmtId="0" fontId="1" fillId="0" borderId="0" applyAlignment="1" pivotButton="0" quotePrefix="0" xfId="0">
      <alignment horizontal="left"/>
    </xf>
    <xf numFmtId="0" fontId="1" fillId="0" borderId="0" applyAlignment="1" pivotButton="0" quotePrefix="0" xfId="0">
      <alignment horizontal="center"/>
    </xf>
    <xf numFmtId="166" fontId="1" fillId="0" borderId="0" pivotButton="0" quotePrefix="0" xfId="2"/>
    <xf numFmtId="0" fontId="0" fillId="0" borderId="15" pivotButton="0" quotePrefix="0" xfId="0"/>
    <xf numFmtId="0" fontId="29" fillId="0" borderId="0" applyAlignment="1" pivotButton="0" quotePrefix="0" xfId="0">
      <alignment horizontal="left"/>
    </xf>
    <xf numFmtId="0" fontId="29" fillId="0" borderId="0" applyAlignment="1" pivotButton="0" quotePrefix="0" xfId="0">
      <alignment horizontal="center"/>
    </xf>
    <xf numFmtId="9" fontId="29" fillId="0" borderId="0" pivotButton="0" quotePrefix="0" xfId="1"/>
    <xf numFmtId="164" fontId="29" fillId="0" borderId="0" pivotButton="0" quotePrefix="0" xfId="1"/>
    <xf numFmtId="164" fontId="29" fillId="0" borderId="0" pivotButton="0" quotePrefix="0" xfId="1"/>
    <xf numFmtId="166" fontId="29" fillId="0" borderId="0" pivotButton="0" quotePrefix="0" xfId="2"/>
    <xf numFmtId="164" fontId="1" fillId="0" borderId="0" pivotButton="0" quotePrefix="0" xfId="1"/>
    <xf numFmtId="164" fontId="16" fillId="4" borderId="20" pivotButton="0" quotePrefix="0" xfId="1"/>
    <xf numFmtId="0" fontId="30" fillId="0" borderId="0" applyAlignment="1" pivotButton="0" quotePrefix="0" xfId="0">
      <alignment horizontal="center"/>
    </xf>
    <xf numFmtId="167" fontId="1" fillId="0" borderId="0" pivotButton="0" quotePrefix="0" xfId="2"/>
    <xf numFmtId="167" fontId="16" fillId="4" borderId="20" pivotButton="0" quotePrefix="0" xfId="0"/>
    <xf numFmtId="167" fontId="0" fillId="8" borderId="20" applyAlignment="1" pivotButton="0" quotePrefix="0" xfId="2">
      <alignment horizontal="right"/>
    </xf>
    <xf numFmtId="167" fontId="1" fillId="8" borderId="20" applyAlignment="1" pivotButton="0" quotePrefix="0" xfId="2">
      <alignment horizontal="right"/>
    </xf>
    <xf numFmtId="166" fontId="1" fillId="0" borderId="0" pivotButton="0" quotePrefix="0" xfId="0"/>
    <xf numFmtId="0" fontId="9" fillId="0" borderId="8" applyAlignment="1" pivotButton="0" quotePrefix="0" xfId="0">
      <alignment horizontal="left"/>
    </xf>
    <xf numFmtId="0" fontId="31" fillId="0" borderId="8" applyAlignment="1" pivotButton="0" quotePrefix="0" xfId="0">
      <alignment horizontal="center"/>
    </xf>
    <xf numFmtId="168" fontId="9" fillId="0" borderId="8" pivotButton="0" quotePrefix="0" xfId="2"/>
    <xf numFmtId="0" fontId="31" fillId="0" borderId="0" applyAlignment="1" pivotButton="0" quotePrefix="0" xfId="0">
      <alignment horizontal="center"/>
    </xf>
    <xf numFmtId="168" fontId="9" fillId="0" borderId="0" pivotButton="0" quotePrefix="0" xfId="2"/>
    <xf numFmtId="0" fontId="10" fillId="0" borderId="0" applyAlignment="1" pivotButton="0" quotePrefix="0" xfId="0">
      <alignment horizontal="left"/>
    </xf>
    <xf numFmtId="169" fontId="0" fillId="0" borderId="0" pivotButton="0" quotePrefix="0" xfId="0"/>
    <xf numFmtId="169" fontId="1" fillId="0" borderId="0" pivotButton="0" quotePrefix="0" xfId="0"/>
    <xf numFmtId="168" fontId="1" fillId="0" borderId="0" pivotButton="0" quotePrefix="0" xfId="2"/>
    <xf numFmtId="164" fontId="16" fillId="4" borderId="20" applyAlignment="1" pivotButton="0" quotePrefix="0" xfId="1">
      <alignment horizontal="right"/>
    </xf>
    <xf numFmtId="0" fontId="1" fillId="0" borderId="0" pivotButton="0" quotePrefix="1" xfId="0"/>
    <xf numFmtId="0" fontId="29" fillId="0" borderId="14" applyAlignment="1" pivotButton="0" quotePrefix="0" xfId="0">
      <alignment horizontal="left"/>
    </xf>
    <xf numFmtId="166" fontId="1" fillId="0" borderId="0" applyAlignment="1" pivotButton="0" quotePrefix="0" xfId="0">
      <alignment horizontal="right"/>
    </xf>
    <xf numFmtId="168" fontId="1" fillId="9" borderId="20" pivotButton="0" quotePrefix="0" xfId="2"/>
    <xf numFmtId="170" fontId="1" fillId="0" borderId="0" applyAlignment="1" pivotButton="0" quotePrefix="0" xfId="0">
      <alignment horizontal="right"/>
    </xf>
    <xf numFmtId="168" fontId="1" fillId="4" borderId="20" pivotButton="0" quotePrefix="0" xfId="2"/>
    <xf numFmtId="168" fontId="0" fillId="4" borderId="20" pivotButton="0" quotePrefix="0" xfId="2"/>
    <xf numFmtId="0" fontId="1" fillId="0" borderId="18" pivotButton="0" quotePrefix="0" xfId="0"/>
    <xf numFmtId="9" fontId="29" fillId="0" borderId="18" pivotButton="0" quotePrefix="0" xfId="1"/>
    <xf numFmtId="170" fontId="1" fillId="0" borderId="18" applyAlignment="1" pivotButton="0" quotePrefix="0" xfId="0">
      <alignment horizontal="right"/>
    </xf>
    <xf numFmtId="0" fontId="9" fillId="0" borderId="10" pivotButton="0" quotePrefix="0" xfId="0"/>
    <xf numFmtId="168" fontId="9" fillId="0" borderId="10" pivotButton="0" quotePrefix="0" xfId="2"/>
    <xf numFmtId="168" fontId="9" fillId="0" borderId="0" applyAlignment="1" pivotButton="0" quotePrefix="0" xfId="2">
      <alignment horizontal="right"/>
    </xf>
    <xf numFmtId="164" fontId="16" fillId="4" borderId="20" applyAlignment="1" pivotButton="0" quotePrefix="0" xfId="1">
      <alignment horizontal="center"/>
    </xf>
    <xf numFmtId="168" fontId="1" fillId="0" borderId="0" applyAlignment="1" pivotButton="0" quotePrefix="0" xfId="2">
      <alignment horizontal="right"/>
    </xf>
    <xf numFmtId="0" fontId="32" fillId="0" borderId="0" pivotButton="0" quotePrefix="0" xfId="0"/>
    <xf numFmtId="168" fontId="1" fillId="0" borderId="18" applyAlignment="1" pivotButton="0" quotePrefix="0" xfId="2">
      <alignment horizontal="right"/>
    </xf>
    <xf numFmtId="0" fontId="1" fillId="0" borderId="16" pivotButton="0" quotePrefix="0" xfId="0"/>
    <xf numFmtId="0" fontId="31" fillId="0" borderId="10" applyAlignment="1" pivotButton="0" quotePrefix="0" xfId="0">
      <alignment horizontal="center"/>
    </xf>
    <xf numFmtId="171" fontId="9" fillId="0" borderId="10" pivotButton="0" quotePrefix="0" xfId="2"/>
    <xf numFmtId="0" fontId="1" fillId="0" borderId="17" pivotButton="0" quotePrefix="0" xfId="0"/>
    <xf numFmtId="171" fontId="9" fillId="0" borderId="0" pivotButton="0" quotePrefix="0" xfId="2"/>
    <xf numFmtId="0" fontId="1" fillId="0" borderId="10" pivotButton="0" quotePrefix="0" xfId="0"/>
    <xf numFmtId="170" fontId="1" fillId="0" borderId="0" pivotButton="0" quotePrefix="0" xfId="0"/>
    <xf numFmtId="10" fontId="16" fillId="4" borderId="20" applyAlignment="1" pivotButton="0" quotePrefix="0" xfId="1">
      <alignment horizontal="right"/>
    </xf>
    <xf numFmtId="172" fontId="27" fillId="0" borderId="0" applyAlignment="1" pivotButton="0" quotePrefix="0" xfId="0">
      <alignment horizontal="center"/>
    </xf>
    <xf numFmtId="172" fontId="9" fillId="0" borderId="0" applyAlignment="1" pivotButton="0" quotePrefix="0" xfId="0">
      <alignment horizontal="center"/>
    </xf>
    <xf numFmtId="173" fontId="16" fillId="4" borderId="20" applyAlignment="1" pivotButton="0" quotePrefix="0" xfId="1">
      <alignment horizontal="right"/>
    </xf>
    <xf numFmtId="0" fontId="16" fillId="0" borderId="0" applyAlignment="1" pivotButton="0" quotePrefix="0" xfId="0">
      <alignment horizontal="center"/>
    </xf>
    <xf numFmtId="0" fontId="25" fillId="0" borderId="0" pivotButton="0" quotePrefix="0" xfId="4"/>
    <xf numFmtId="0" fontId="8" fillId="0" borderId="16" pivotButton="0" quotePrefix="0" xfId="0"/>
    <xf numFmtId="0" fontId="1" fillId="0" borderId="10" applyAlignment="1" pivotButton="0" quotePrefix="0" xfId="0">
      <alignment horizontal="center"/>
    </xf>
    <xf numFmtId="1" fontId="16" fillId="0" borderId="10" applyAlignment="1" pivotButton="0" quotePrefix="0" xfId="1">
      <alignment horizontal="center"/>
    </xf>
    <xf numFmtId="10" fontId="16" fillId="0" borderId="10" applyAlignment="1" pivotButton="0" quotePrefix="0" xfId="1">
      <alignment horizontal="center"/>
    </xf>
    <xf numFmtId="0" fontId="16" fillId="0" borderId="10" applyAlignment="1" pivotButton="0" quotePrefix="0" xfId="0">
      <alignment horizontal="center"/>
    </xf>
    <xf numFmtId="1" fontId="16" fillId="0" borderId="0" applyAlignment="1" pivotButton="0" quotePrefix="0" xfId="1">
      <alignment horizontal="center"/>
    </xf>
    <xf numFmtId="10" fontId="16" fillId="0" borderId="0" applyAlignment="1" pivotButton="0" quotePrefix="0" xfId="1">
      <alignment horizontal="center"/>
    </xf>
    <xf numFmtId="174" fontId="1" fillId="0" borderId="0" pivotButton="0" quotePrefix="0" xfId="0"/>
    <xf numFmtId="0" fontId="34" fillId="0" borderId="0" pivotButton="0" quotePrefix="0" xfId="0"/>
    <xf numFmtId="170" fontId="28" fillId="0" borderId="0" pivotButton="0" quotePrefix="0" xfId="0"/>
    <xf numFmtId="175" fontId="16" fillId="4" borderId="20" pivotButton="0" quotePrefix="0" xfId="2"/>
    <xf numFmtId="0" fontId="30" fillId="0" borderId="18" applyAlignment="1" pivotButton="0" quotePrefix="0" xfId="0">
      <alignment horizontal="center"/>
    </xf>
    <xf numFmtId="168" fontId="1" fillId="0" borderId="18" pivotButton="0" quotePrefix="0" xfId="2"/>
    <xf numFmtId="0" fontId="35" fillId="0" borderId="0" pivotButton="0" quotePrefix="0" xfId="0"/>
    <xf numFmtId="0" fontId="31" fillId="0" borderId="1" applyAlignment="1" pivotButton="0" quotePrefix="0" xfId="0">
      <alignment horizontal="center"/>
    </xf>
    <xf numFmtId="168" fontId="9" fillId="0" borderId="1" applyAlignment="1" pivotButton="0" quotePrefix="0" xfId="2">
      <alignment horizontal="right"/>
    </xf>
    <xf numFmtId="176" fontId="1" fillId="0" borderId="0" pivotButton="0" quotePrefix="0" xfId="0"/>
    <xf numFmtId="0" fontId="1" fillId="0" borderId="0" pivotButton="0" quotePrefix="0" xfId="1"/>
    <xf numFmtId="164" fontId="1" fillId="0" borderId="0" applyAlignment="1" pivotButton="0" quotePrefix="0" xfId="1">
      <alignment horizontal="right"/>
    </xf>
    <xf numFmtId="168" fontId="16" fillId="4" borderId="30" pivotButton="0" quotePrefix="0" xfId="2"/>
    <xf numFmtId="10" fontId="1" fillId="0" borderId="0" pivotButton="0" quotePrefix="0" xfId="1"/>
    <xf numFmtId="175" fontId="1" fillId="0" borderId="0" pivotButton="0" quotePrefix="0" xfId="2"/>
    <xf numFmtId="169" fontId="1" fillId="0" borderId="0" applyAlignment="1" pivotButton="0" quotePrefix="0" xfId="0">
      <alignment horizontal="right"/>
    </xf>
    <xf numFmtId="176" fontId="1" fillId="0" borderId="0" pivotButton="0" quotePrefix="0" xfId="2"/>
    <xf numFmtId="0" fontId="9" fillId="0" borderId="8" applyAlignment="1" pivotButton="0" quotePrefix="0" xfId="0">
      <alignment horizontal="center"/>
    </xf>
    <xf numFmtId="176" fontId="9" fillId="0" borderId="8" pivotButton="0" quotePrefix="0" xfId="2"/>
    <xf numFmtId="168" fontId="1" fillId="0" borderId="0" pivotButton="0" quotePrefix="0" xfId="0"/>
    <xf numFmtId="166" fontId="9" fillId="0" borderId="0" applyAlignment="1" pivotButton="0" quotePrefix="0" xfId="0">
      <alignment horizontal="left"/>
    </xf>
    <xf numFmtId="0" fontId="28" fillId="0" borderId="15" pivotButton="0" quotePrefix="0" xfId="0"/>
    <xf numFmtId="168" fontId="18" fillId="0" borderId="0" pivotButton="0" quotePrefix="0" xfId="2"/>
    <xf numFmtId="10" fontId="18" fillId="9" borderId="20" applyAlignment="1" pivotButton="0" quotePrefix="0" xfId="1">
      <alignment horizontal="center"/>
    </xf>
    <xf numFmtId="164" fontId="1" fillId="0" borderId="0" pivotButton="0" quotePrefix="0" xfId="0"/>
    <xf numFmtId="172" fontId="1" fillId="0" borderId="0" applyAlignment="1" pivotButton="0" quotePrefix="0" xfId="0">
      <alignment horizontal="right"/>
    </xf>
    <xf numFmtId="177" fontId="1" fillId="0" borderId="0" pivotButton="0" quotePrefix="0" xfId="0"/>
    <xf numFmtId="0" fontId="1" fillId="0" borderId="8" pivotButton="0" quotePrefix="0" xfId="0"/>
    <xf numFmtId="171" fontId="9" fillId="0" borderId="0" pivotButton="0" quotePrefix="0" xfId="0"/>
    <xf numFmtId="171" fontId="9" fillId="0" borderId="31" pivotButton="0" quotePrefix="0" xfId="0"/>
    <xf numFmtId="168" fontId="1" fillId="9" borderId="20" applyAlignment="1" pivotButton="0" quotePrefix="0" xfId="2">
      <alignment horizontal="center"/>
    </xf>
    <xf numFmtId="10" fontId="1" fillId="0" borderId="0" applyAlignment="1" pivotButton="0" quotePrefix="0" xfId="0">
      <alignment horizontal="center"/>
    </xf>
    <xf numFmtId="168" fontId="0" fillId="9" borderId="24" applyAlignment="1" pivotButton="0" quotePrefix="0" xfId="2">
      <alignment horizontal="center"/>
    </xf>
    <xf numFmtId="10" fontId="1" fillId="0" borderId="0" pivotButton="0" quotePrefix="0" xfId="0"/>
    <xf numFmtId="9" fontId="1" fillId="0" borderId="0" pivotButton="0" quotePrefix="0" xfId="0"/>
    <xf numFmtId="43" fontId="1" fillId="0" borderId="0" pivotButton="0" quotePrefix="0" xfId="0"/>
    <xf numFmtId="0" fontId="1" fillId="0" borderId="12" applyAlignment="1" pivotButton="0" quotePrefix="0" xfId="0">
      <alignment horizontal="center"/>
    </xf>
    <xf numFmtId="0" fontId="1" fillId="3" borderId="0" pivotButton="0" quotePrefix="0" xfId="0"/>
    <xf numFmtId="0" fontId="1" fillId="3" borderId="0" applyAlignment="1" pivotButton="0" quotePrefix="0" xfId="0">
      <alignment horizontal="center"/>
    </xf>
    <xf numFmtId="164" fontId="22" fillId="0" borderId="0" pivotButton="0" quotePrefix="0" xfId="1"/>
    <xf numFmtId="0" fontId="1" fillId="11" borderId="0" pivotButton="0" quotePrefix="0" xfId="0"/>
    <xf numFmtId="1" fontId="1" fillId="10" borderId="0" pivotButton="0" quotePrefix="0" xfId="0"/>
    <xf numFmtId="0" fontId="1" fillId="0" borderId="1" pivotButton="0" quotePrefix="0" xfId="0"/>
    <xf numFmtId="0" fontId="1" fillId="0" borderId="1" applyAlignment="1" pivotButton="0" quotePrefix="0" xfId="0">
      <alignment horizontal="center"/>
    </xf>
    <xf numFmtId="0" fontId="1" fillId="0" borderId="18" applyAlignment="1" pivotButton="0" quotePrefix="0" xfId="0">
      <alignment horizontal="center"/>
    </xf>
    <xf numFmtId="0" fontId="37" fillId="0" borderId="0" pivotButton="0" quotePrefix="0" xfId="0"/>
    <xf numFmtId="0" fontId="1" fillId="0" borderId="8" applyAlignment="1" pivotButton="0" quotePrefix="0" xfId="0">
      <alignment horizontal="center"/>
    </xf>
    <xf numFmtId="0" fontId="17" fillId="0" borderId="0" pivotButton="0" quotePrefix="0" xfId="0"/>
    <xf numFmtId="0" fontId="17" fillId="0" borderId="15" applyAlignment="1" pivotButton="0" quotePrefix="0" xfId="0">
      <alignment horizontal="center"/>
    </xf>
    <xf numFmtId="2" fontId="16" fillId="0" borderId="0" applyAlignment="1" pivotButton="0" quotePrefix="0" xfId="1">
      <alignment horizontal="center"/>
    </xf>
    <xf numFmtId="173" fontId="16" fillId="4" borderId="20" applyAlignment="1" pivotButton="0" quotePrefix="0" xfId="1">
      <alignment horizontal="center"/>
    </xf>
    <xf numFmtId="165" fontId="1" fillId="0" borderId="0" pivotButton="0" quotePrefix="0" xfId="2"/>
    <xf numFmtId="165" fontId="1" fillId="0" borderId="0" pivotButton="0" quotePrefix="0" xfId="0"/>
    <xf numFmtId="178" fontId="16" fillId="4" borderId="20" pivotButton="0" quotePrefix="0" xfId="0"/>
    <xf numFmtId="1" fontId="1" fillId="0" borderId="18" pivotButton="0" quotePrefix="0" xfId="0"/>
    <xf numFmtId="0" fontId="1" fillId="0" borderId="4" pivotButton="0" quotePrefix="0" xfId="0"/>
    <xf numFmtId="1" fontId="1" fillId="0" borderId="4" pivotButton="0" quotePrefix="0" xfId="0"/>
    <xf numFmtId="0" fontId="1" fillId="0" borderId="19" pivotButton="0" quotePrefix="0" xfId="0"/>
    <xf numFmtId="2" fontId="1" fillId="0" borderId="10" pivotButton="0" quotePrefix="0" xfId="0"/>
    <xf numFmtId="1" fontId="1" fillId="6" borderId="20" pivotButton="0" quotePrefix="0" xfId="1"/>
    <xf numFmtId="1" fontId="1" fillId="0" borderId="21" pivotButton="0" quotePrefix="0" xfId="1"/>
    <xf numFmtId="1" fontId="1" fillId="0" borderId="0" pivotButton="0" quotePrefix="0" xfId="1"/>
    <xf numFmtId="2" fontId="1" fillId="0" borderId="0" pivotButton="0" quotePrefix="0" xfId="1"/>
    <xf numFmtId="2" fontId="1" fillId="0" borderId="0" applyAlignment="1" pivotButton="0" quotePrefix="1" xfId="1">
      <alignment horizontal="center"/>
    </xf>
    <xf numFmtId="165" fontId="1" fillId="6" borderId="20" pivotButton="0" quotePrefix="0" xfId="2"/>
    <xf numFmtId="2" fontId="1" fillId="0" borderId="0" applyAlignment="1" pivotButton="0" quotePrefix="0" xfId="1">
      <alignment horizontal="center"/>
    </xf>
    <xf numFmtId="1" fontId="18" fillId="6" borderId="32" pivotButton="0" quotePrefix="0" xfId="0"/>
    <xf numFmtId="1" fontId="18" fillId="6" borderId="33" pivotButton="0" quotePrefix="0" xfId="0"/>
    <xf numFmtId="41" fontId="1" fillId="0" borderId="0" pivotButton="0" quotePrefix="0" xfId="3"/>
    <xf numFmtId="41" fontId="1" fillId="0" borderId="0" pivotButton="0" quotePrefix="0" xfId="0"/>
    <xf numFmtId="9" fontId="1" fillId="0" borderId="0" pivotButton="0" quotePrefix="0" xfId="1"/>
    <xf numFmtId="1" fontId="1" fillId="0" borderId="15" pivotButton="0" quotePrefix="0" xfId="0"/>
    <xf numFmtId="165" fontId="1" fillId="0" borderId="0" pivotButton="0" quotePrefix="0" xfId="2"/>
    <xf numFmtId="0" fontId="38" fillId="0" borderId="0" applyAlignment="1" pivotButton="0" quotePrefix="0" xfId="0">
      <alignment horizontal="right"/>
    </xf>
    <xf numFmtId="0" fontId="13" fillId="0" borderId="0" pivotButton="0" quotePrefix="0" xfId="0"/>
    <xf numFmtId="10" fontId="38" fillId="0" borderId="0" pivotButton="0" quotePrefix="0" xfId="2"/>
    <xf numFmtId="171" fontId="13" fillId="0" borderId="10" pivotButton="0" quotePrefix="0" xfId="2"/>
    <xf numFmtId="10" fontId="38" fillId="0" borderId="10" pivotButton="0" quotePrefix="0" xfId="2"/>
    <xf numFmtId="0" fontId="38" fillId="0" borderId="10" applyAlignment="1" pivotButton="0" quotePrefix="0" xfId="0">
      <alignment horizontal="right"/>
    </xf>
    <xf numFmtId="0" fontId="39" fillId="0" borderId="0" applyAlignment="1" pivotButton="0" quotePrefix="0" xfId="0">
      <alignment horizontal="left"/>
    </xf>
    <xf numFmtId="164" fontId="40" fillId="0" borderId="0" pivotButton="0" quotePrefix="0" xfId="1"/>
    <xf numFmtId="0" fontId="39" fillId="0" borderId="0" applyAlignment="1" pivotButton="0" quotePrefix="0" xfId="0">
      <alignment horizontal="right"/>
    </xf>
    <xf numFmtId="169" fontId="40" fillId="0" borderId="0" pivotButton="0" quotePrefix="0" xfId="0"/>
    <xf numFmtId="9" fontId="0" fillId="0" borderId="0" pivotButton="0" quotePrefix="0" xfId="0"/>
    <xf numFmtId="170" fontId="1" fillId="0" borderId="0" applyAlignment="1" pivotButton="0" quotePrefix="0" xfId="2">
      <alignment horizontal="center"/>
    </xf>
    <xf numFmtId="171" fontId="1" fillId="0" borderId="0" applyAlignment="1" pivotButton="0" quotePrefix="0" xfId="0">
      <alignment horizontal="center"/>
    </xf>
    <xf numFmtId="164" fontId="29" fillId="0" borderId="18" applyAlignment="1" pivotButton="0" quotePrefix="0" xfId="1">
      <alignment horizontal="center"/>
    </xf>
    <xf numFmtId="168" fontId="9" fillId="11" borderId="0" pivotButton="0" quotePrefix="0" xfId="2"/>
    <xf numFmtId="168" fontId="1" fillId="11" borderId="0" applyAlignment="1" pivotButton="0" quotePrefix="0" xfId="2">
      <alignment horizontal="right"/>
    </xf>
    <xf numFmtId="168" fontId="1" fillId="11" borderId="18" applyAlignment="1" pivotButton="0" quotePrefix="0" xfId="2">
      <alignment horizontal="center"/>
    </xf>
    <xf numFmtId="168" fontId="9" fillId="11" borderId="10" pivotButton="0" quotePrefix="0" xfId="2"/>
    <xf numFmtId="10" fontId="39" fillId="0" borderId="0" pivotButton="0" quotePrefix="0" xfId="1"/>
    <xf numFmtId="0" fontId="33" fillId="0" borderId="0" pivotButton="0" quotePrefix="0" xfId="0"/>
    <xf numFmtId="165" fontId="33" fillId="0" borderId="0" pivotButton="0" quotePrefix="0" xfId="0"/>
    <xf numFmtId="168" fontId="33" fillId="0" borderId="0" pivotButton="0" quotePrefix="0" xfId="2"/>
    <xf numFmtId="168" fontId="33" fillId="0" borderId="0" applyAlignment="1" pivotButton="0" quotePrefix="0" xfId="2">
      <alignment horizontal="right"/>
    </xf>
    <xf numFmtId="166" fontId="1" fillId="0" borderId="0" pivotButton="0" quotePrefix="0" xfId="1"/>
    <xf numFmtId="0" fontId="1" fillId="0" borderId="34" pivotButton="0" quotePrefix="0" xfId="0"/>
    <xf numFmtId="0" fontId="1" fillId="0" borderId="35" pivotButton="0" quotePrefix="0" xfId="0"/>
    <xf numFmtId="0" fontId="33" fillId="0" borderId="35" pivotButton="0" quotePrefix="0" xfId="0"/>
    <xf numFmtId="0" fontId="1" fillId="0" borderId="36" pivotButton="0" quotePrefix="0" xfId="0"/>
    <xf numFmtId="0" fontId="33" fillId="0" borderId="37" pivotButton="0" quotePrefix="0" xfId="0"/>
    <xf numFmtId="165" fontId="33" fillId="0" borderId="37" pivotButton="0" quotePrefix="0" xfId="0"/>
    <xf numFmtId="168" fontId="33" fillId="0" borderId="37" pivotButton="0" quotePrefix="0" xfId="2"/>
    <xf numFmtId="0" fontId="33" fillId="0" borderId="38" pivotButton="0" quotePrefix="0" xfId="0"/>
    <xf numFmtId="0" fontId="1" fillId="0" borderId="39" pivotButton="0" quotePrefix="0" xfId="0"/>
    <xf numFmtId="0" fontId="1" fillId="0" borderId="40" pivotButton="0" quotePrefix="0" xfId="0"/>
    <xf numFmtId="10" fontId="1" fillId="0" borderId="40" pivotButton="0" quotePrefix="0" xfId="1"/>
    <xf numFmtId="175" fontId="1" fillId="0" borderId="40" pivotButton="0" quotePrefix="0" xfId="2"/>
    <xf numFmtId="0" fontId="1" fillId="0" borderId="41" pivotButton="0" quotePrefix="0" xfId="0"/>
    <xf numFmtId="168" fontId="9" fillId="0" borderId="31" pivotButton="0" quotePrefix="0" xfId="2"/>
    <xf numFmtId="0" fontId="38" fillId="0" borderId="10" applyAlignment="1" pivotButton="0" quotePrefix="0" xfId="0">
      <alignment horizontal="center"/>
    </xf>
    <xf numFmtId="0" fontId="31" fillId="0" borderId="31" applyAlignment="1" pivotButton="0" quotePrefix="0" xfId="0">
      <alignment horizontal="center"/>
    </xf>
    <xf numFmtId="0" fontId="38" fillId="0" borderId="40" applyAlignment="1" pivotButton="0" quotePrefix="0" xfId="0">
      <alignment horizontal="center"/>
    </xf>
    <xf numFmtId="0" fontId="39" fillId="0" borderId="0" applyAlignment="1" pivotButton="0" quotePrefix="0" xfId="0">
      <alignment horizontal="center"/>
    </xf>
    <xf numFmtId="10" fontId="38" fillId="0" borderId="0" applyAlignment="1" pivotButton="0" quotePrefix="0" xfId="2">
      <alignment horizontal="center"/>
    </xf>
    <xf numFmtId="168" fontId="7" fillId="12" borderId="8" pivotButton="0" quotePrefix="0" xfId="2"/>
    <xf numFmtId="1" fontId="7" fillId="12" borderId="20" pivotButton="0" quotePrefix="0" xfId="0"/>
    <xf numFmtId="175" fontId="16" fillId="4" borderId="42" pivotButton="0" quotePrefix="0" xfId="2"/>
    <xf numFmtId="0" fontId="1" fillId="11" borderId="0" pivotButton="0" quotePrefix="1" xfId="0"/>
    <xf numFmtId="175" fontId="16" fillId="0" borderId="20" pivotButton="0" quotePrefix="0" xfId="2"/>
    <xf numFmtId="168" fontId="33" fillId="0" borderId="0" applyAlignment="1" pivotButton="0" quotePrefix="0" xfId="2">
      <alignment horizontal="right"/>
    </xf>
    <xf numFmtId="168" fontId="1" fillId="9" borderId="42" pivotButton="0" quotePrefix="0" xfId="2"/>
    <xf numFmtId="179" fontId="1" fillId="0" borderId="0" pivotButton="0" quotePrefix="0" xfId="2"/>
    <xf numFmtId="0" fontId="1" fillId="0" borderId="37" pivotButton="0" quotePrefix="0" xfId="0"/>
    <xf numFmtId="0" fontId="41" fillId="13" borderId="0" pivotButton="0" quotePrefix="0" xfId="0"/>
    <xf numFmtId="0" fontId="0" fillId="0" borderId="34" applyAlignment="1" pivotButton="0" quotePrefix="0" xfId="0">
      <alignment horizontal="right"/>
    </xf>
    <xf numFmtId="9" fontId="0" fillId="0" borderId="45" applyAlignment="1" pivotButton="0" quotePrefix="0" xfId="0">
      <alignment horizontal="center"/>
    </xf>
    <xf numFmtId="0" fontId="0" fillId="0" borderId="45" applyAlignment="1" pivotButton="0" quotePrefix="0" xfId="0">
      <alignment horizontal="center"/>
    </xf>
    <xf numFmtId="10" fontId="0" fillId="0" borderId="45" applyAlignment="1" pivotButton="0" quotePrefix="0" xfId="0">
      <alignment horizontal="center"/>
    </xf>
    <xf numFmtId="0" fontId="0" fillId="14" borderId="43" applyAlignment="1" pivotButton="0" quotePrefix="0" xfId="0">
      <alignment horizontal="right"/>
    </xf>
    <xf numFmtId="0" fontId="0" fillId="14" borderId="44" applyAlignment="1" pivotButton="0" quotePrefix="0" xfId="0">
      <alignment horizontal="center"/>
    </xf>
    <xf numFmtId="0" fontId="0" fillId="14" borderId="34" applyAlignment="1" pivotButton="0" quotePrefix="0" xfId="0">
      <alignment horizontal="right"/>
    </xf>
    <xf numFmtId="9" fontId="0" fillId="14" borderId="45" applyAlignment="1" pivotButton="0" quotePrefix="0" xfId="0">
      <alignment horizontal="center"/>
    </xf>
    <xf numFmtId="10" fontId="0" fillId="14" borderId="45" applyAlignment="1" pivotButton="0" quotePrefix="0" xfId="0">
      <alignment horizontal="center"/>
    </xf>
    <xf numFmtId="178" fontId="0" fillId="14" borderId="45" applyAlignment="1" pivotButton="0" quotePrefix="0" xfId="0">
      <alignment horizontal="center"/>
    </xf>
    <xf numFmtId="168" fontId="33" fillId="0" borderId="33" applyAlignment="1" pivotButton="0" quotePrefix="0" xfId="2">
      <alignment horizontal="right"/>
    </xf>
    <xf numFmtId="175" fontId="9" fillId="0" borderId="18" applyAlignment="1" pivotButton="0" quotePrefix="0" xfId="2">
      <alignment horizontal="right"/>
    </xf>
    <xf numFmtId="175" fontId="9" fillId="0" borderId="18" applyAlignment="1" pivotButton="0" quotePrefix="0" xfId="2">
      <alignment horizontal="right"/>
    </xf>
    <xf numFmtId="0" fontId="0" fillId="0" borderId="37" pivotButton="0" quotePrefix="0" xfId="0"/>
    <xf numFmtId="0" fontId="0" fillId="0" borderId="40" pivotButton="0" quotePrefix="0" xfId="0"/>
    <xf numFmtId="0" fontId="7" fillId="13" borderId="0" pivotButton="0" quotePrefix="0" xfId="0"/>
    <xf numFmtId="171" fontId="7" fillId="13" borderId="0" pivotButton="0" quotePrefix="0" xfId="0"/>
    <xf numFmtId="0" fontId="42" fillId="0" borderId="0" pivotButton="0" quotePrefix="0" xfId="0"/>
    <xf numFmtId="0" fontId="43" fillId="0" borderId="0" pivotButton="0" quotePrefix="0" xfId="0"/>
    <xf numFmtId="0" fontId="33" fillId="0" borderId="18" pivotButton="0" quotePrefix="0" xfId="0"/>
    <xf numFmtId="0" fontId="38" fillId="0" borderId="0" applyAlignment="1" pivotButton="0" quotePrefix="0" xfId="0">
      <alignment horizontal="center"/>
    </xf>
    <xf numFmtId="168" fontId="16" fillId="0" borderId="30" pivotButton="0" quotePrefix="0" xfId="2"/>
    <xf numFmtId="0" fontId="1" fillId="0" borderId="47" pivotButton="0" quotePrefix="0" xfId="0"/>
    <xf numFmtId="0" fontId="10" fillId="0" borderId="37" applyAlignment="1" pivotButton="0" quotePrefix="0" xfId="0">
      <alignment horizontal="left"/>
    </xf>
    <xf numFmtId="10" fontId="1" fillId="0" borderId="37" pivotButton="0" quotePrefix="0" xfId="1"/>
    <xf numFmtId="166" fontId="1" fillId="0" borderId="37" pivotButton="0" quotePrefix="0" xfId="1"/>
    <xf numFmtId="0" fontId="1" fillId="0" borderId="48" pivotButton="0" quotePrefix="0" xfId="0"/>
    <xf numFmtId="0" fontId="31" fillId="0" borderId="49" applyAlignment="1" pivotButton="0" quotePrefix="0" xfId="0">
      <alignment horizontal="center"/>
    </xf>
    <xf numFmtId="178" fontId="0" fillId="0" borderId="45" applyAlignment="1" pivotButton="0" quotePrefix="0" xfId="0">
      <alignment horizontal="center"/>
    </xf>
    <xf numFmtId="0" fontId="0" fillId="0" borderId="36" applyAlignment="1" pivotButton="0" quotePrefix="0" xfId="0">
      <alignment horizontal="right"/>
    </xf>
    <xf numFmtId="0" fontId="0" fillId="0" borderId="46" applyAlignment="1" pivotButton="0" quotePrefix="0" xfId="0">
      <alignment horizontal="center"/>
    </xf>
    <xf numFmtId="2" fontId="0" fillId="14" borderId="45" applyAlignment="1" pivotButton="0" quotePrefix="0" xfId="0">
      <alignment horizontal="center"/>
    </xf>
    <xf numFmtId="0" fontId="7" fillId="3" borderId="6" applyAlignment="1" pivotButton="0" quotePrefix="0" xfId="0">
      <alignment horizontal="center"/>
    </xf>
    <xf numFmtId="0" fontId="7" fillId="3" borderId="5" applyAlignment="1" pivotButton="0" quotePrefix="0" xfId="0">
      <alignment horizontal="center"/>
    </xf>
    <xf numFmtId="0" fontId="7" fillId="3" borderId="27" applyAlignment="1" pivotButton="0" quotePrefix="0" xfId="0">
      <alignment horizontal="center"/>
    </xf>
    <xf numFmtId="0" fontId="9" fillId="0" borderId="0" applyAlignment="1" pivotButton="0" quotePrefix="0" xfId="0">
      <alignment horizontal="left" vertical="top"/>
    </xf>
    <xf numFmtId="0" fontId="17" fillId="0" borderId="0" applyAlignment="1" pivotButton="0" quotePrefix="0" xfId="0">
      <alignment horizontal="left" vertical="top"/>
    </xf>
    <xf numFmtId="164" fontId="10" fillId="0" borderId="0" pivotButton="0" quotePrefix="0" xfId="1"/>
    <xf numFmtId="164" fontId="22" fillId="4" borderId="20" pivotButton="0" quotePrefix="0" xfId="1"/>
    <xf numFmtId="164" fontId="10" fillId="0" borderId="0" applyAlignment="1" pivotButton="0" quotePrefix="0" xfId="1">
      <alignment horizontal="right"/>
    </xf>
    <xf numFmtId="165" fontId="1" fillId="0" borderId="0" pivotButton="0" quotePrefix="0" xfId="2"/>
    <xf numFmtId="165" fontId="1" fillId="0" borderId="0" pivotButton="0" quotePrefix="0" xfId="0"/>
    <xf numFmtId="177" fontId="1" fillId="0" borderId="0" pivotButton="0" quotePrefix="0" xfId="0"/>
    <xf numFmtId="165" fontId="1" fillId="6" borderId="20" pivotButton="0" quotePrefix="0" xfId="2"/>
    <xf numFmtId="164" fontId="16" fillId="4" borderId="20" applyAlignment="1" pivotButton="0" quotePrefix="0" xfId="0">
      <alignment horizontal="center"/>
    </xf>
    <xf numFmtId="165" fontId="17" fillId="7" borderId="24" applyAlignment="1" pivotButton="0" quotePrefix="0" xfId="2">
      <alignment horizontal="centerContinuous"/>
    </xf>
    <xf numFmtId="165" fontId="9" fillId="0" borderId="0" pivotButton="0" quotePrefix="0" xfId="2"/>
    <xf numFmtId="0" fontId="0" fillId="0" borderId="6" pivotButton="0" quotePrefix="0" xfId="0"/>
    <xf numFmtId="0" fontId="0" fillId="0" borderId="5" pivotButton="0" quotePrefix="0" xfId="0"/>
    <xf numFmtId="166" fontId="1" fillId="0" borderId="0" pivotButton="0" quotePrefix="0" xfId="2"/>
    <xf numFmtId="164" fontId="29" fillId="0" borderId="0" pivotButton="0" quotePrefix="0" xfId="1"/>
    <xf numFmtId="166" fontId="29" fillId="0" borderId="0" pivotButton="0" quotePrefix="0" xfId="2"/>
    <xf numFmtId="164" fontId="1" fillId="0" borderId="0" pivotButton="0" quotePrefix="0" xfId="1"/>
    <xf numFmtId="164" fontId="16" fillId="4" borderId="20" pivotButton="0" quotePrefix="0" xfId="1"/>
    <xf numFmtId="167" fontId="1" fillId="0" borderId="0" pivotButton="0" quotePrefix="0" xfId="2"/>
    <xf numFmtId="167" fontId="16" fillId="4" borderId="20" pivotButton="0" quotePrefix="0" xfId="0"/>
    <xf numFmtId="167" fontId="0" fillId="8" borderId="20" applyAlignment="1" pivotButton="0" quotePrefix="0" xfId="2">
      <alignment horizontal="right"/>
    </xf>
    <xf numFmtId="167" fontId="1" fillId="8" borderId="20" applyAlignment="1" pivotButton="0" quotePrefix="0" xfId="2">
      <alignment horizontal="right"/>
    </xf>
    <xf numFmtId="166" fontId="1" fillId="0" borderId="0" pivotButton="0" quotePrefix="0" xfId="0"/>
    <xf numFmtId="168" fontId="9" fillId="0" borderId="8" pivotButton="0" quotePrefix="0" xfId="2"/>
    <xf numFmtId="168" fontId="7" fillId="12" borderId="8" pivotButton="0" quotePrefix="0" xfId="2"/>
    <xf numFmtId="169" fontId="40" fillId="0" borderId="0" pivotButton="0" quotePrefix="0" xfId="0"/>
    <xf numFmtId="169" fontId="1" fillId="0" borderId="0" pivotButton="0" quotePrefix="0" xfId="0"/>
    <xf numFmtId="168" fontId="1" fillId="0" borderId="0" pivotButton="0" quotePrefix="0" xfId="2"/>
    <xf numFmtId="169" fontId="0" fillId="0" borderId="0" pivotButton="0" quotePrefix="0" xfId="0"/>
    <xf numFmtId="164" fontId="16" fillId="4" borderId="20" applyAlignment="1" pivotButton="0" quotePrefix="0" xfId="1">
      <alignment horizontal="right"/>
    </xf>
    <xf numFmtId="164" fontId="40" fillId="0" borderId="0" pivotButton="0" quotePrefix="0" xfId="1"/>
    <xf numFmtId="166" fontId="1" fillId="0" borderId="0" applyAlignment="1" pivotButton="0" quotePrefix="0" xfId="0">
      <alignment horizontal="right"/>
    </xf>
    <xf numFmtId="168" fontId="1" fillId="9" borderId="42" pivotButton="0" quotePrefix="0" xfId="2"/>
    <xf numFmtId="168" fontId="1" fillId="9" borderId="20" pivotButton="0" quotePrefix="0" xfId="2"/>
    <xf numFmtId="170" fontId="1" fillId="0" borderId="0" applyAlignment="1" pivotButton="0" quotePrefix="0" xfId="2">
      <alignment horizontal="center"/>
    </xf>
    <xf numFmtId="170" fontId="1" fillId="0" borderId="0" applyAlignment="1" pivotButton="0" quotePrefix="0" xfId="0">
      <alignment horizontal="right"/>
    </xf>
    <xf numFmtId="171" fontId="1" fillId="0" borderId="0" applyAlignment="1" pivotButton="0" quotePrefix="0" xfId="0">
      <alignment horizontal="center"/>
    </xf>
    <xf numFmtId="168" fontId="1" fillId="4" borderId="20" pivotButton="0" quotePrefix="0" xfId="2"/>
    <xf numFmtId="168" fontId="0" fillId="4" borderId="20" pivotButton="0" quotePrefix="0" xfId="2"/>
    <xf numFmtId="164" fontId="29" fillId="0" borderId="18" applyAlignment="1" pivotButton="0" quotePrefix="0" xfId="1">
      <alignment horizontal="center"/>
    </xf>
    <xf numFmtId="170" fontId="1" fillId="0" borderId="18" applyAlignment="1" pivotButton="0" quotePrefix="0" xfId="0">
      <alignment horizontal="right"/>
    </xf>
    <xf numFmtId="168" fontId="9" fillId="0" borderId="10" pivotButton="0" quotePrefix="0" xfId="2"/>
    <xf numFmtId="168" fontId="9" fillId="11" borderId="0" pivotButton="0" quotePrefix="0" xfId="2"/>
    <xf numFmtId="168" fontId="9" fillId="0" borderId="0" applyAlignment="1" pivotButton="0" quotePrefix="0" xfId="2">
      <alignment horizontal="right"/>
    </xf>
    <xf numFmtId="164" fontId="16" fillId="4" borderId="20" applyAlignment="1" pivotButton="0" quotePrefix="0" xfId="1">
      <alignment horizontal="center"/>
    </xf>
    <xf numFmtId="168" fontId="1" fillId="11" borderId="0" applyAlignment="1" pivotButton="0" quotePrefix="0" xfId="2">
      <alignment horizontal="right"/>
    </xf>
    <xf numFmtId="168" fontId="1" fillId="0" borderId="0" applyAlignment="1" pivotButton="0" quotePrefix="0" xfId="2">
      <alignment horizontal="right"/>
    </xf>
    <xf numFmtId="168" fontId="1" fillId="11" borderId="18" applyAlignment="1" pivotButton="0" quotePrefix="0" xfId="2">
      <alignment horizontal="center"/>
    </xf>
    <xf numFmtId="168" fontId="1" fillId="0" borderId="18" applyAlignment="1" pivotButton="0" quotePrefix="0" xfId="2">
      <alignment horizontal="right"/>
    </xf>
    <xf numFmtId="168" fontId="9" fillId="11" borderId="10" pivotButton="0" quotePrefix="0" xfId="2"/>
    <xf numFmtId="171" fontId="13" fillId="0" borderId="10" pivotButton="0" quotePrefix="0" xfId="2"/>
    <xf numFmtId="171" fontId="9" fillId="0" borderId="0" pivotButton="0" quotePrefix="0" xfId="2"/>
    <xf numFmtId="171" fontId="9" fillId="0" borderId="10" pivotButton="0" quotePrefix="0" xfId="2"/>
    <xf numFmtId="170" fontId="1" fillId="0" borderId="0" pivotButton="0" quotePrefix="0" xfId="0"/>
    <xf numFmtId="172" fontId="27" fillId="0" borderId="0" applyAlignment="1" pivotButton="0" quotePrefix="0" xfId="0">
      <alignment horizontal="center"/>
    </xf>
    <xf numFmtId="172" fontId="9" fillId="0" borderId="0" applyAlignment="1" pivotButton="0" quotePrefix="0" xfId="0">
      <alignment horizontal="center"/>
    </xf>
    <xf numFmtId="173" fontId="16" fillId="4" borderId="20" applyAlignment="1" pivotButton="0" quotePrefix="0" xfId="1">
      <alignment horizontal="right"/>
    </xf>
    <xf numFmtId="174" fontId="1" fillId="0" borderId="0" pivotButton="0" quotePrefix="0" xfId="0"/>
    <xf numFmtId="170" fontId="28" fillId="0" borderId="0" pivotButton="0" quotePrefix="0" xfId="0"/>
    <xf numFmtId="175" fontId="16" fillId="4" borderId="20" pivotButton="0" quotePrefix="0" xfId="2"/>
    <xf numFmtId="175" fontId="16" fillId="0" borderId="20" pivotButton="0" quotePrefix="0" xfId="2"/>
    <xf numFmtId="175" fontId="16" fillId="4" borderId="42" pivotButton="0" quotePrefix="0" xfId="2"/>
    <xf numFmtId="168" fontId="1" fillId="0" borderId="18" pivotButton="0" quotePrefix="0" xfId="2"/>
    <xf numFmtId="168" fontId="33" fillId="0" borderId="33" applyAlignment="1" pivotButton="0" quotePrefix="0" xfId="2">
      <alignment horizontal="right"/>
    </xf>
    <xf numFmtId="168" fontId="9" fillId="0" borderId="1" applyAlignment="1" pivotButton="0" quotePrefix="0" xfId="2">
      <alignment horizontal="right"/>
    </xf>
    <xf numFmtId="175" fontId="9" fillId="0" borderId="18" applyAlignment="1" pivotButton="0" quotePrefix="0" xfId="2">
      <alignment horizontal="right"/>
    </xf>
    <xf numFmtId="176" fontId="1" fillId="0" borderId="0" pivotButton="0" quotePrefix="0" xfId="0"/>
    <xf numFmtId="164" fontId="1" fillId="0" borderId="0" applyAlignment="1" pivotButton="0" quotePrefix="0" xfId="1">
      <alignment horizontal="right"/>
    </xf>
    <xf numFmtId="168" fontId="16" fillId="4" borderId="30" pivotButton="0" quotePrefix="0" xfId="2"/>
    <xf numFmtId="168" fontId="16" fillId="0" borderId="30" pivotButton="0" quotePrefix="0" xfId="2"/>
    <xf numFmtId="166" fontId="1" fillId="0" borderId="37" pivotButton="0" quotePrefix="0" xfId="1"/>
    <xf numFmtId="175" fontId="1" fillId="0" borderId="0" pivotButton="0" quotePrefix="0" xfId="2"/>
    <xf numFmtId="175" fontId="1" fillId="0" borderId="40" pivotButton="0" quotePrefix="0" xfId="2"/>
    <xf numFmtId="169" fontId="1" fillId="0" borderId="0" applyAlignment="1" pivotButton="0" quotePrefix="0" xfId="0">
      <alignment horizontal="right"/>
    </xf>
    <xf numFmtId="176" fontId="1" fillId="0" borderId="0" pivotButton="0" quotePrefix="0" xfId="2"/>
    <xf numFmtId="176" fontId="9" fillId="0" borderId="8" pivotButton="0" quotePrefix="0" xfId="2"/>
    <xf numFmtId="168" fontId="1" fillId="0" borderId="0" pivotButton="0" quotePrefix="0" xfId="0"/>
    <xf numFmtId="166" fontId="9" fillId="0" borderId="0" applyAlignment="1" pivotButton="0" quotePrefix="0" xfId="0">
      <alignment horizontal="left"/>
    </xf>
    <xf numFmtId="168" fontId="18" fillId="0" borderId="0" pivotButton="0" quotePrefix="0" xfId="2"/>
    <xf numFmtId="164" fontId="1" fillId="0" borderId="0" pivotButton="0" quotePrefix="0" xfId="0"/>
    <xf numFmtId="172" fontId="1" fillId="0" borderId="0" applyAlignment="1" pivotButton="0" quotePrefix="0" xfId="0">
      <alignment horizontal="right"/>
    </xf>
    <xf numFmtId="168" fontId="9" fillId="0" borderId="0" pivotButton="0" quotePrefix="0" xfId="2"/>
    <xf numFmtId="168" fontId="9" fillId="0" borderId="31" pivotButton="0" quotePrefix="0" xfId="2"/>
    <xf numFmtId="171" fontId="7" fillId="13" borderId="0" pivotButton="0" quotePrefix="0" xfId="0"/>
    <xf numFmtId="171" fontId="9" fillId="0" borderId="0" pivotButton="0" quotePrefix="0" xfId="0"/>
    <xf numFmtId="168" fontId="1" fillId="9" borderId="20" applyAlignment="1" pivotButton="0" quotePrefix="0" xfId="2">
      <alignment horizontal="center"/>
    </xf>
    <xf numFmtId="168" fontId="0" fillId="9" borderId="24" applyAlignment="1" pivotButton="0" quotePrefix="0" xfId="2">
      <alignment horizontal="center"/>
    </xf>
    <xf numFmtId="168" fontId="33" fillId="0" borderId="0" pivotButton="0" quotePrefix="0" xfId="2"/>
    <xf numFmtId="168" fontId="33" fillId="0" borderId="0" applyAlignment="1" pivotButton="0" quotePrefix="0" xfId="2">
      <alignment horizontal="right"/>
    </xf>
    <xf numFmtId="166" fontId="1" fillId="0" borderId="0" pivotButton="0" quotePrefix="0" xfId="1"/>
    <xf numFmtId="165" fontId="33" fillId="0" borderId="0" pivotButton="0" quotePrefix="0" xfId="0"/>
    <xf numFmtId="165" fontId="33" fillId="0" borderId="37" pivotButton="0" quotePrefix="0" xfId="0"/>
    <xf numFmtId="168" fontId="33" fillId="0" borderId="37" pivotButton="0" quotePrefix="0" xfId="2"/>
    <xf numFmtId="171" fontId="9" fillId="0" borderId="31" pivotButton="0" quotePrefix="0" xfId="0"/>
    <xf numFmtId="164" fontId="22" fillId="0" borderId="0" pivotButton="0" quotePrefix="0" xfId="1"/>
    <xf numFmtId="173" fontId="16" fillId="4" borderId="20" applyAlignment="1" pivotButton="0" quotePrefix="0" xfId="1">
      <alignment horizontal="center"/>
    </xf>
  </cellXfs>
  <cellStyles count="5">
    <cellStyle name="Normal" xfId="0" builtinId="0"/>
    <cellStyle name="Percent" xfId="1" builtinId="5"/>
    <cellStyle name="Comma" xfId="2" builtinId="3"/>
    <cellStyle name="Comma [0]" xfId="3" builtinId="6"/>
    <cellStyle name="Hyperlink" xfId="4"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plotArea>
      <layout/>
      <lineChart>
        <grouping val="standard"/>
        <varyColors val="0"/>
        <ser>
          <idx val="0"/>
          <order val="0"/>
          <spPr>
            <a:ln xmlns:a="http://schemas.openxmlformats.org/drawingml/2006/main">
              <a:prstDash val="solid"/>
            </a:ln>
          </spPr>
          <marker>
            <symbol val="none"/>
            <spPr>
              <a:ln xmlns:a="http://schemas.openxmlformats.org/drawingml/2006/main">
                <a:prstDash val="solid"/>
              </a:ln>
            </spPr>
          </marker>
          <val>
            <numRef>
              <f>OLD!$E$27:$L$27</f>
              <numCache>
                <formatCode>General</formatCode>
                <ptCount val="8"/>
                <pt idx="0">
                  <v>30</v>
                </pt>
                <pt idx="1">
                  <v>50</v>
                </pt>
                <pt idx="2">
                  <v>40</v>
                </pt>
                <pt idx="3">
                  <v>75</v>
                </pt>
                <pt idx="4">
                  <v>95</v>
                </pt>
                <pt idx="5">
                  <v>155</v>
                </pt>
                <pt idx="6">
                  <v>175</v>
                </pt>
                <pt idx="7">
                  <v>200</v>
                </pt>
              </numCache>
            </numRef>
          </val>
          <smooth val="0"/>
        </ser>
        <dLbls>
          <showLegendKey val="0"/>
          <showVal val="0"/>
          <showCatName val="0"/>
          <showSerName val="0"/>
          <showPercent val="0"/>
          <showBubbleSize val="0"/>
        </dLbls>
        <marker val="1"/>
        <smooth val="0"/>
        <axId val="244183808"/>
        <axId val="244185344"/>
      </lineChart>
      <catAx>
        <axId val="244183808"/>
        <scaling>
          <orientation val="minMax"/>
        </scaling>
        <delete val="0"/>
        <axPos val="b"/>
        <majorTickMark val="out"/>
        <minorTickMark val="none"/>
        <tickLblPos val="nextTo"/>
        <crossAx val="244185344"/>
        <crosses val="autoZero"/>
        <auto val="1"/>
        <lblAlgn val="ctr"/>
        <lblOffset val="100"/>
        <noMultiLvlLbl val="0"/>
      </catAx>
      <valAx>
        <axId val="244185344"/>
        <scaling>
          <orientation val="minMax"/>
        </scaling>
        <delete val="0"/>
        <axPos val="l"/>
        <majorGridlines/>
        <numFmt formatCode="General" sourceLinked="1"/>
        <majorTickMark val="out"/>
        <minorTickMark val="none"/>
        <tickLblPos val="nextTo"/>
        <crossAx val="244183808"/>
        <crosses val="autoZero"/>
        <crossBetween val="between"/>
      </valAx>
    </plotArea>
    <legend>
      <legendPos val="r"/>
      <overlay val="0"/>
    </legend>
    <plotVisOnly val="1"/>
    <dispBlanksAs val="gap"/>
  </chart>
</chartSpace>
</file>

<file path=xl/comments/comment1.xml><?xml version="1.0" encoding="utf-8"?>
<comments xmlns="http://schemas.openxmlformats.org/spreadsheetml/2006/main">
  <authors>
    <author>Gerhard Woertche</author>
  </authors>
  <commentList>
    <comment ref="C13" authorId="0" shapeId="0">
      <text>
        <t>Use historical data, market analysis, and any other available information to make revenue forecasts.</t>
      </text>
    </comment>
    <comment ref="C31" authorId="0" shapeId="0">
      <text>
        <t>Some expense items may move in line with revenue, while others may have different patterns. You should use your judgment and historical data to estimate future cost items.</t>
      </text>
    </comment>
    <comment ref="C34" authorId="0" shapeId="0">
      <text>
        <t>You can estimate D&amp;A based on historical Capex figures, assuming a time lag, or you can request a PP&amp;E schedule from the sell-side advisors.</t>
      </text>
    </comment>
    <comment ref="C44" authorId="0" shapeId="0">
      <text>
        <t>Assume a 15% corporate tax rate for Germany.</t>
      </text>
    </comment>
    <comment ref="C51" authorId="0" shapeId="0">
      <text>
        <t>Once the DCM deadline has passed, you will see debt financing packages available. Select the debt amount and interest rate of the financing package you're selecting.</t>
      </text>
    </comment>
    <comment ref="C55" authorId="0" shapeId="0">
      <text>
        <t xml:space="preserve">Assume the reference rate is Euribor. Google the current 3-month Euribor rate and enter it here.
</t>
      </text>
    </comment>
  </commentList>
</comments>
</file>

<file path=xl/comments/comment2.xml><?xml version="1.0" encoding="utf-8"?>
<comments xmlns="http://schemas.openxmlformats.org/spreadsheetml/2006/main">
  <authors>
    <author>Gerhard Woertche</author>
  </authors>
  <commentList>
    <comment ref="C13" authorId="0" shapeId="0">
      <text>
        <t>Assess the realism of the company's planned WC optimization based on historical data.</t>
      </text>
    </comment>
    <comment ref="C15" authorId="0" shapeId="0">
      <text>
        <t>Utilize historical data as a reference to evaluate whether the company's future plans are likely to necessitate additional capex.</t>
      </text>
    </comment>
  </commentList>
</comments>
</file>

<file path=xl/comments/comment3.xml><?xml version="1.0" encoding="utf-8"?>
<comments xmlns="http://schemas.openxmlformats.org/spreadsheetml/2006/main">
  <authors>
    <author>Gerhard Woertche</author>
  </authors>
  <commentList>
    <comment ref="C13" authorId="0" shapeId="0">
      <text>
        <t>Verify that the signs are correct to ensure that cash expenses and other cash outflows are subtracted from EBITDA.</t>
      </text>
    </comment>
  </commentList>
</comments>
</file>

<file path=xl/comments/comment4.xml><?xml version="1.0" encoding="utf-8"?>
<comments xmlns="http://schemas.openxmlformats.org/spreadsheetml/2006/main">
  <authors>
    <author>Gerhard Woertche</author>
  </authors>
  <commentList>
    <comment ref="C16" authorId="0" shapeId="0">
      <text>
        <t xml:space="preserve">For most PE firms, the minimum required rate of return is currently around 15%, which is the IRR target. Ideally, your submitted EV bid should not imply an IRR of less than 15%. Therefore, your discount rate should be set at 15%. </t>
      </text>
    </comment>
    <comment ref="C18" authorId="0" shapeId="0">
      <text>
        <t>The terminal value growth rate is typically set in line with the expected long-term growth rate of the economy or the industry. Commonly used rates range from 2% to 4%. Use your judgement.</t>
      </text>
    </comment>
    <comment ref="C21" authorId="0" shapeId="0">
      <text>
        <t xml:space="preserve">Insert here the TLB (Term Loan B) loan amount that you select, subtracting the company's cash. </t>
      </text>
    </comment>
  </commentList>
</comments>
</file>

<file path=xl/comments/comment5.xml><?xml version="1.0" encoding="utf-8"?>
<comments xmlns="http://schemas.openxmlformats.org/spreadsheetml/2006/main">
  <authors>
    <author>Gerhard Woertche</author>
  </authors>
  <commentList>
    <comment ref="C28" authorId="0" shapeId="0">
      <text>
        <t>Use historical data, the ODD report, and available Sell-Side information to make revenue forecasts.</t>
      </text>
    </comment>
    <comment ref="C43" authorId="0" shapeId="0">
      <text>
        <t>Some expense items may move in line with revenue, while others may have different patterns. You should use your judgment and historical data to estimate future cost items.</t>
      </text>
    </comment>
    <comment ref="C48" authorId="0" shapeId="0">
      <text>
        <t>You can estimate D&amp;A based on historical Capex figures, assuming a time lag, or you can request a FF&amp;E information from the sell-side advisors.</t>
      </text>
    </comment>
    <comment ref="C52" authorId="0" shapeId="0">
      <text>
        <t>Assume 24% as the Italian corporate tax rate.</t>
      </text>
    </comment>
    <comment ref="C59" authorId="0" shapeId="0">
      <text>
        <t>Once the DCM deadline has passed, you will see debt financing packages available. Select the debt amount and interest rate of the financing package you're selecting.</t>
      </text>
    </comment>
    <comment ref="C63" authorId="0" shapeId="0">
      <text>
        <t xml:space="preserve">Assume the reference rate is Euribor. Google the current 3-month Euribor rate and enter it here.
</t>
      </text>
    </comment>
    <comment ref="C76" authorId="0" shapeId="0">
      <text>
        <t>Growth Capex should be based on the expansion of the hotel quantity. Calculate the annual increase in the number of new hotels and multiply it by the cost of establishing a new hotel to determine Growth Capex.</t>
      </text>
    </comment>
    <comment ref="C77" authorId="0" shapeId="0">
      <text>
        <t>Use historical data as a reference to evaluate whether the company's future plans are likely to necessitate additional maintenance Capex. Estimate future expenses by examining historical costs and the quantity of hotels.</t>
      </text>
    </comment>
    <comment ref="C81" authorId="0" shapeId="0">
      <text>
        <t>Assess the realism of the company's planned WC optimization based on historical data.</t>
      </text>
    </comment>
    <comment ref="C97" authorId="0" shapeId="0">
      <text>
        <t>Verify that the signs are correct to ensure that cash expenses and other cash outflows are subtracted from EBITDA.</t>
      </text>
    </comment>
    <comment ref="C99" authorId="0" shapeId="0">
      <text>
        <t xml:space="preserve">For most PE firms, the minimum required rate of return is currently around 15%, which is the IRR target. Ideally, your submitted EV bid should not imply an IRR of less than 15%. Therefore, your discount rate should be set at 15%. </t>
      </text>
    </comment>
    <comment ref="C100" authorId="0" shapeId="0">
      <text>
        <t>The terminal value growth rate is typically set in line with the expected long-term growth rate of the economy or the industry. Commonly used rates range from 2% to 4%. Use your judgement.</t>
      </text>
    </comment>
    <comment ref="C110" authorId="0" shapeId="0">
      <text>
        <t xml:space="preserve">Insert here the TLB (Term Loan B) loan amount that you select, subtracting the company's cash. </t>
      </text>
    </comment>
  </commentList>
</comments>
</file>

<file path=xl/comments/comment6.xml><?xml version="1.0" encoding="utf-8"?>
<comments xmlns="http://schemas.openxmlformats.org/spreadsheetml/2006/main">
  <authors>
    <author>Gerhard Woertche</author>
  </authors>
  <commentList>
    <comment ref="C26" authorId="0" shapeId="0">
      <text>
        <t>Use historical data, the ODD report, and available Sell-Side information to make revenue forecasts.</t>
      </text>
    </comment>
    <comment ref="C41" authorId="0" shapeId="0">
      <text>
        <t>Some expense items may move in line with revenue, while others may have different patterns. You should use your judgment and historical data to estimate future cost items.</t>
      </text>
    </comment>
    <comment ref="C46" authorId="0" shapeId="0">
      <text>
        <t>You can estimate D&amp;A based on historical Capex figures, assuming a time lag, or you can request a FF&amp;E information from the sell-side advisors.</t>
      </text>
    </comment>
    <comment ref="C50" authorId="0" shapeId="0">
      <text>
        <t>Assume 24% as the Italian corporate tax rate.</t>
      </text>
    </comment>
    <comment ref="C57" authorId="0" shapeId="0">
      <text>
        <t>Once the DCM deadline has passed, you will see debt financing packages available. Select the debt amount and interest rate of the financing package you're selecting.</t>
      </text>
    </comment>
    <comment ref="C61" authorId="0" shapeId="0">
      <text>
        <t xml:space="preserve">Assume the reference rate is Euribor. Google the current 3-month Euribor rate and enter it here.
</t>
      </text>
    </comment>
    <comment ref="C74" authorId="0" shapeId="0">
      <text>
        <t>Growth Capex should be based on the expansion of the hotel quantity. Calculate the annual increase in the number of new hotels and multiply it by the cost of establishing a new hotel to determine Growth Capex.</t>
      </text>
    </comment>
    <comment ref="C75" authorId="0" shapeId="0">
      <text>
        <t>Use historical data as a reference to evaluate whether the company's future plans are likely to necessitate additional maintenance Capex. Estimate future expenses by examining historical costs and the quantity of hotels.</t>
      </text>
    </comment>
    <comment ref="C81" authorId="0" shapeId="0">
      <text>
        <t>Assess the realism of the company's planned WC optimization based on historical data.</t>
      </text>
    </comment>
    <comment ref="C101" authorId="0" shapeId="0">
      <text>
        <t>Verify that the signs are correct to ensure that cash expenses and other cash outflows are subtracted from EBITDA.</t>
      </text>
    </comment>
    <comment ref="C103" authorId="0" shapeId="0">
      <text>
        <t xml:space="preserve">For most PE firms, the minimum required rate of return is currently around 15%, which is the IRR target. Ideally, your submitted EV bid should not imply an IRR of less than 15%. Therefore, your discount rate should be set at 15%. </t>
      </text>
    </comment>
    <comment ref="C104" authorId="0" shapeId="0">
      <text>
        <t>The terminal value growth rate is typically set in line with the expected long-term growth rate of the economy or the industry. Commonly used rates range from 2% to 4%. Use your judgement.</t>
      </text>
    </comment>
    <comment ref="C114" authorId="0" shapeId="0">
      <text>
        <t xml:space="preserve">Insert here the TLB (Term Loan B) loan amount that you select, subtracting the company's cash. </t>
      </text>
    </comment>
  </commentList>
</comments>
</file>

<file path=xl/comments/comment7.xml><?xml version="1.0" encoding="utf-8"?>
<comments xmlns="http://schemas.openxmlformats.org/spreadsheetml/2006/main">
  <authors>
    <author>Gerhard Woertche</author>
  </authors>
  <commentList>
    <comment ref="C12" authorId="0" shapeId="0">
      <text>
        <t>Use historical data, market reports, and available Sell-Side information to make revenue forecasts.</t>
      </text>
    </comment>
    <comment ref="C30" authorId="0" shapeId="0">
      <text>
        <t>Some expense items may move in line with revenue, while others may have different patterns. You should use your judgment and historical data to estimate future cost items.</t>
      </text>
    </comment>
    <comment ref="C33" authorId="0" shapeId="0">
      <text>
        <t>You can estimate D&amp;A based on historical Capex figures, assuming a time lag, or you can request PP&amp;E information from the sell-side advisors.</t>
      </text>
    </comment>
    <comment ref="C43" authorId="0" shapeId="0">
      <text>
        <t>Assume a 22% corporate tax rate for Norway.</t>
      </text>
    </comment>
    <comment ref="C50" authorId="0" shapeId="0">
      <text>
        <t>Once the DCM deadline has passed, you will see debt financing packages available. Select the debt amount and interest rate of the financing package you're selecting.</t>
      </text>
    </comment>
    <comment ref="C54" authorId="0" shapeId="0">
      <text>
        <t xml:space="preserve">Assume the reference rate is Euribor. Google the current 3-month Euribor rate and enter it here.
</t>
      </text>
    </comment>
  </commentList>
</comments>
</file>

<file path=xl/comments/comment8.xml><?xml version="1.0" encoding="utf-8"?>
<comments xmlns="http://schemas.openxmlformats.org/spreadsheetml/2006/main">
  <authors>
    <author>Gerhard Woertche</author>
  </authors>
  <commentList>
    <comment ref="C13" authorId="0" shapeId="0">
      <text>
        <t>Assess the realism of the company's planned WC optimization based on historical data.</t>
      </text>
    </comment>
    <comment ref="C15" authorId="0" shapeId="0">
      <text>
        <t>Utilize historical data as a reference to evaluate whether the company's future plans are likely to necessitate additional capex.</t>
      </text>
    </comment>
  </commentList>
</comments>
</file>

<file path=xl/comments/comment9.xml><?xml version="1.0" encoding="utf-8"?>
<comments xmlns="http://schemas.openxmlformats.org/spreadsheetml/2006/main">
  <authors>
    <author>Gerhard Woertche</author>
  </authors>
  <commentList>
    <comment ref="C13" authorId="0" shapeId="0">
      <text>
        <t>Verify that the signs are correct to ensure that cash expenses and other cash outflows are subtracted from EBITDA.</t>
      </text>
    </comment>
  </commentList>
</comments>
</file>

<file path=xl/comments/comment10.xml><?xml version="1.0" encoding="utf-8"?>
<comments xmlns="http://schemas.openxmlformats.org/spreadsheetml/2006/main">
  <authors>
    <author>Gerhard Woertche</author>
  </authors>
  <commentList>
    <comment ref="C16" authorId="0" shapeId="0">
      <text>
        <t xml:space="preserve">For most PE firms, the minimum required rate of return is currently around 15%, which is the IRR target. Ideally, your submitted EV bid should not imply an IRR of less than 15%. Therefore, your discount rate should be set at 15%. </t>
      </text>
    </comment>
    <comment ref="C18" authorId="0" shapeId="0">
      <text>
        <t>The terminal value growth rate is typically set in line with the expected long-term growth rate of the economy or the industry. Commonly used rates range from 2% to 4%. Use your judgement.</t>
      </text>
    </comment>
    <comment ref="C21" authorId="0" shapeId="0">
      <text>
        <t xml:space="preserve">Insert here the TLB (Term Loan B) loan amount that you select, subtracting the company's cash. </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s>
</file>

<file path=xl/drawings/_rels/drawing3.xml.rels><Relationships xmlns="http://schemas.openxmlformats.org/package/2006/relationships"><Relationship Type="http://schemas.openxmlformats.org/officeDocument/2006/relationships/image" Target="/xl/media/image2.png" Id="rId1"/></Relationships>
</file>

<file path=xl/drawings/_rels/drawing4.xml.rels><Relationships xmlns="http://schemas.openxmlformats.org/package/2006/relationships"><Relationship Type="http://schemas.openxmlformats.org/officeDocument/2006/relationships/image" Target="/xl/media/image3.png" Id="rId1"/></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twoCellAnchor>
    <from>
      <col>12</col>
      <colOff>76200</colOff>
      <row>29</row>
      <rowOff>109537</rowOff>
    </from>
    <to>
      <col>19</col>
      <colOff>381000</colOff>
      <row>51</row>
      <rowOff>185737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0</col>
      <colOff>590550</colOff>
      <row>4</row>
      <rowOff>95250</rowOff>
    </from>
    <to>
      <col>5</col>
      <colOff>342900</colOff>
      <row>9</row>
      <rowOff>133350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90550" y="1333500"/>
          <a:ext cx="2800350" cy="99060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2</col>
      <colOff>78642</colOff>
      <row>1</row>
      <rowOff>83737</rowOff>
    </from>
    <to>
      <col>3</col>
      <colOff>924344</colOff>
      <row>4</row>
      <rowOff>122430</rowOff>
    </to>
    <pic>
      <nvPicPr>
        <cNvPr id="4" name="Picture 3"/>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754917" y="293287"/>
          <a:ext cx="1722002" cy="63876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1</col>
      <colOff>0</colOff>
      <row>4</row>
      <rowOff>0</rowOff>
    </from>
    <to>
      <col>4</col>
      <colOff>591079</colOff>
      <row>8</row>
      <rowOff>15874</rowOff>
    </to>
    <pic>
      <nvPicPr>
        <cNvPr id="2" name="Picture 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609600" y="1238250"/>
          <a:ext cx="2419879" cy="77787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editAs="oneCell">
    <from>
      <col>2</col>
      <colOff>78317</colOff>
      <row>1</row>
      <rowOff>164043</rowOff>
    </from>
    <to>
      <col>2</col>
      <colOff>2498196</colOff>
      <row>5</row>
      <rowOff>141817</rowOff>
    </to>
    <pic>
      <nvPicPr>
        <cNvPr id="2" name="Picture 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506942" y="364068"/>
          <a:ext cx="2419879" cy="77787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editAs="oneCell">
    <from>
      <col>2</col>
      <colOff>78317</colOff>
      <row>1</row>
      <rowOff>164043</rowOff>
    </from>
    <to>
      <col>2</col>
      <colOff>2498196</colOff>
      <row>5</row>
      <rowOff>141817</rowOff>
    </to>
    <pic>
      <nvPicPr>
        <cNvPr id="2" name="Picture 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506942" y="364068"/>
          <a:ext cx="2419879" cy="777874"/>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24</col>
      <colOff>561975</colOff>
      <row>1</row>
      <rowOff>57150</rowOff>
    </from>
    <to>
      <col>36</col>
      <colOff>647700</colOff>
      <row>32</row>
      <rowOff>180975</rowOff>
    </to>
    <pic>
      <nvPicPr>
        <cNvPr id="3" name="Imag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2498050" y="257175"/>
          <a:ext cx="10258425" cy="6324600"/>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552450</colOff>
      <row>4</row>
      <rowOff>85725</rowOff>
    </from>
    <to>
      <col>4</col>
      <colOff>217170</colOff>
      <row>6</row>
      <rowOff>111619</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552450" y="1323975"/>
          <a:ext cx="2103120" cy="406894"/>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2</col>
      <colOff>14111</colOff>
      <row>1</row>
      <rowOff>80081</rowOff>
    </from>
    <to>
      <col>4</col>
      <colOff>12206</colOff>
      <row>3</row>
      <rowOff>86925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90386" y="280106"/>
          <a:ext cx="2103120" cy="40689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https://www.euribor-rates.eu/en/" TargetMode="External" Id="rId1"/><Relationship Type="http://schemas.openxmlformats.org/officeDocument/2006/relationships/drawing" Target="/xl/drawings/drawing6.xml" Id="rId2"/><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B3:N81"/>
  <sheetViews>
    <sheetView workbookViewId="0">
      <selection activeCell="M15" sqref="M15"/>
    </sheetView>
  </sheetViews>
  <sheetFormatPr baseColWidth="8" defaultColWidth="8.85546875" defaultRowHeight="15" outlineLevelRow="1"/>
  <cols>
    <col width="31" bestFit="1" customWidth="1" min="4" max="4"/>
  </cols>
  <sheetData>
    <row r="3">
      <c r="B3" s="1" t="n"/>
      <c r="C3" s="2" t="inlineStr">
        <is>
          <t>Frame-tastic</t>
        </is>
      </c>
      <c r="D3" s="1" t="n"/>
      <c r="E3" s="1" t="n"/>
      <c r="F3" s="1" t="n"/>
      <c r="G3" s="1" t="n"/>
      <c r="H3" s="1" t="n"/>
      <c r="I3" s="1" t="n"/>
      <c r="J3" s="1" t="n"/>
      <c r="K3" s="1" t="n"/>
      <c r="L3" s="1" t="n"/>
      <c r="M3" s="1" t="n"/>
      <c r="N3" s="1" t="n"/>
    </row>
    <row r="13">
      <c r="C13" t="inlineStr">
        <is>
          <t>Financials</t>
        </is>
      </c>
      <c r="E13" s="4" t="inlineStr">
        <is>
          <t>t-5</t>
        </is>
      </c>
      <c r="F13" s="4" t="inlineStr">
        <is>
          <t>t-4</t>
        </is>
      </c>
      <c r="G13" s="4" t="inlineStr">
        <is>
          <t>t-3</t>
        </is>
      </c>
      <c r="H13" s="4" t="inlineStr">
        <is>
          <t>t-2</t>
        </is>
      </c>
      <c r="I13" s="4" t="inlineStr">
        <is>
          <t>t-1</t>
        </is>
      </c>
      <c r="J13" s="4" t="inlineStr">
        <is>
          <t>t0</t>
        </is>
      </c>
      <c r="K13" s="4" t="inlineStr">
        <is>
          <t>t1</t>
        </is>
      </c>
      <c r="L13" s="4" t="inlineStr">
        <is>
          <t>t2</t>
        </is>
      </c>
      <c r="M13" s="6" t="inlineStr">
        <is>
          <t>Notes from the management team</t>
        </is>
      </c>
    </row>
    <row r="14">
      <c r="E14" s="4" t="inlineStr">
        <is>
          <t>Actuals</t>
        </is>
      </c>
      <c r="F14" s="4" t="inlineStr">
        <is>
          <t>Actuals</t>
        </is>
      </c>
      <c r="G14" s="4" t="inlineStr">
        <is>
          <t>Actuals</t>
        </is>
      </c>
      <c r="H14" s="4" t="inlineStr">
        <is>
          <t>Actuals</t>
        </is>
      </c>
      <c r="I14" s="4" t="inlineStr">
        <is>
          <t>Actuals</t>
        </is>
      </c>
      <c r="J14" s="4" t="inlineStr">
        <is>
          <t>Forecast</t>
        </is>
      </c>
      <c r="K14" s="4" t="inlineStr">
        <is>
          <t>Forecast</t>
        </is>
      </c>
      <c r="L14" s="4" t="inlineStr">
        <is>
          <t>Forecast</t>
        </is>
      </c>
      <c r="M14" s="6" t="n"/>
    </row>
    <row r="16">
      <c r="C16" t="inlineStr">
        <is>
          <t>Sales</t>
        </is>
      </c>
      <c r="E16" t="n">
        <v>240</v>
      </c>
      <c r="F16" t="n">
        <v>340</v>
      </c>
      <c r="G16" t="n">
        <v>325</v>
      </c>
      <c r="H16" t="n">
        <v>465</v>
      </c>
      <c r="I16" t="n">
        <v>590</v>
      </c>
      <c r="J16" t="n">
        <v>750</v>
      </c>
      <c r="K16" t="n">
        <v>850</v>
      </c>
      <c r="L16" t="n">
        <v>945</v>
      </c>
      <c r="M16" t="inlineStr">
        <is>
          <t>Frame-tastic argues that strong growth should continue because of the strength of the new product positioning. GM insights estimates the CAGR for the overall door and window frame market up to 2024 to be 3% globally, which includes the strong growth expected in emerging markets. The CAGR assumed by Frame-tastic is 17%. A major international competitor called Schueco has a turnover of €1.5bn.</t>
        </is>
      </c>
    </row>
    <row r="17">
      <c r="C17" t="inlineStr">
        <is>
          <t>Cost of sales</t>
        </is>
      </c>
    </row>
    <row r="18">
      <c r="D18" t="inlineStr">
        <is>
          <t>CoGS</t>
        </is>
      </c>
      <c r="E18" t="n">
        <v>130</v>
      </c>
      <c r="F18" t="n">
        <v>190</v>
      </c>
      <c r="G18" t="n">
        <v>170</v>
      </c>
      <c r="H18" t="n">
        <v>245</v>
      </c>
      <c r="I18" t="n">
        <v>320</v>
      </c>
      <c r="J18" t="n">
        <v>400</v>
      </c>
      <c r="K18" t="n">
        <v>455</v>
      </c>
      <c r="L18" t="n">
        <v>505</v>
      </c>
    </row>
    <row r="19">
      <c r="D19" t="inlineStr">
        <is>
          <t>Direct labour</t>
        </is>
      </c>
      <c r="E19" t="n">
        <v>40</v>
      </c>
      <c r="F19" t="n">
        <v>60</v>
      </c>
      <c r="G19" t="n">
        <v>65</v>
      </c>
      <c r="H19" t="n">
        <v>95</v>
      </c>
      <c r="I19" t="n">
        <v>125</v>
      </c>
      <c r="J19" t="n">
        <v>150</v>
      </c>
      <c r="K19" t="n">
        <v>170</v>
      </c>
      <c r="L19" t="n">
        <v>190</v>
      </c>
    </row>
    <row r="20">
      <c r="C20" t="inlineStr">
        <is>
          <t>Overheads</t>
        </is>
      </c>
    </row>
    <row r="21">
      <c r="D21" t="inlineStr">
        <is>
          <t>Finance, legal, HR, etc</t>
        </is>
      </c>
      <c r="E21" t="n">
        <v>30</v>
      </c>
      <c r="F21">
        <f>E21</f>
        <v/>
      </c>
      <c r="G21">
        <f>F21</f>
        <v/>
      </c>
      <c r="H21">
        <f>G21</f>
        <v/>
      </c>
      <c r="I21">
        <f>H21</f>
        <v/>
      </c>
      <c r="J21">
        <f>I21</f>
        <v/>
      </c>
      <c r="K21" t="n">
        <v>35</v>
      </c>
      <c r="L21" t="n">
        <v>35</v>
      </c>
    </row>
    <row r="22">
      <c r="D22" t="inlineStr">
        <is>
          <t>Product development</t>
        </is>
      </c>
      <c r="E22" t="n">
        <v>10</v>
      </c>
      <c r="F22" t="n">
        <v>10</v>
      </c>
      <c r="G22" t="n">
        <v>20</v>
      </c>
      <c r="H22" t="n">
        <v>20</v>
      </c>
      <c r="I22" t="n">
        <v>20</v>
      </c>
      <c r="J22" t="n">
        <v>15</v>
      </c>
      <c r="K22" t="n">
        <v>15</v>
      </c>
      <c r="L22" t="n">
        <v>15</v>
      </c>
      <c r="M22" t="inlineStr">
        <is>
          <t>Frame-tastic believes that product development spend can reduce now because the product repositioning work has now been done.</t>
        </is>
      </c>
    </row>
    <row r="24">
      <c r="C24" t="inlineStr">
        <is>
          <t>EBITDA</t>
        </is>
      </c>
      <c r="E24" t="n">
        <v>30</v>
      </c>
      <c r="F24" t="n">
        <v>50</v>
      </c>
      <c r="G24" t="n">
        <v>40</v>
      </c>
      <c r="H24" t="n">
        <v>75</v>
      </c>
      <c r="I24" t="n">
        <v>95</v>
      </c>
      <c r="J24">
        <f>J16-SUM(J18:J19,J21:J22)</f>
        <v/>
      </c>
      <c r="K24">
        <f>K16-SUM(K18:K19,K21:K22)</f>
        <v/>
      </c>
      <c r="L24">
        <f>L16-SUM(L18:L19,L21:L22)</f>
        <v/>
      </c>
    </row>
    <row r="25">
      <c r="E25" s="5">
        <f>E24/E16</f>
        <v/>
      </c>
      <c r="F25" s="5">
        <f>F24/F16</f>
        <v/>
      </c>
      <c r="G25" s="5">
        <f>G24/G16</f>
        <v/>
      </c>
      <c r="H25" s="5">
        <f>H24/H16</f>
        <v/>
      </c>
      <c r="I25" s="5">
        <f>I24/I16</f>
        <v/>
      </c>
      <c r="J25" s="5">
        <f>J24/J16</f>
        <v/>
      </c>
      <c r="K25" s="5">
        <f>K24/K16</f>
        <v/>
      </c>
      <c r="L25" s="5">
        <f>L24/L16</f>
        <v/>
      </c>
      <c r="M25" t="inlineStr">
        <is>
          <t>Normal is 8%-14% (source: p11 of https://www.maalot.co.il/Publications/MT20171227151828.pdf)</t>
        </is>
      </c>
    </row>
    <row r="27">
      <c r="E27">
        <f>E16-SUM(E18:E19,E21:E22)</f>
        <v/>
      </c>
      <c r="F27">
        <f>F16-SUM(F18:F19,F21:F22)</f>
        <v/>
      </c>
      <c r="G27">
        <f>G16-SUM(G18:G19,G21:G22)</f>
        <v/>
      </c>
      <c r="H27">
        <f>H16-SUM(H18:H19,H21:H22)</f>
        <v/>
      </c>
      <c r="I27">
        <f>I16-SUM(I18:I19,I21:I22)</f>
        <v/>
      </c>
      <c r="J27" s="4">
        <f>J16-SUM(J18:J19,J21:J22)</f>
        <v/>
      </c>
      <c r="K27" s="4">
        <f>K16-SUM(K18:K19,K21:K22)</f>
        <v/>
      </c>
      <c r="L27">
        <f>L16-SUM(L18:L19,L21:L22)</f>
        <v/>
      </c>
    </row>
    <row r="28">
      <c r="E28">
        <f>E18/E16</f>
        <v/>
      </c>
      <c r="F28">
        <f>F18/F16</f>
        <v/>
      </c>
      <c r="G28">
        <f>G18/G16</f>
        <v/>
      </c>
      <c r="H28">
        <f>H18/H16</f>
        <v/>
      </c>
      <c r="I28">
        <f>I18/I16</f>
        <v/>
      </c>
      <c r="J28">
        <f>J18/J16</f>
        <v/>
      </c>
      <c r="K28">
        <f>K18/K16</f>
        <v/>
      </c>
      <c r="L28">
        <f>L18/L16</f>
        <v/>
      </c>
    </row>
    <row r="29">
      <c r="E29">
        <f>E19/E16</f>
        <v/>
      </c>
      <c r="F29">
        <f>F19/F16</f>
        <v/>
      </c>
      <c r="G29">
        <f>G19/G16</f>
        <v/>
      </c>
      <c r="H29">
        <f>H19/H16</f>
        <v/>
      </c>
      <c r="I29">
        <f>I19/I16</f>
        <v/>
      </c>
      <c r="J29">
        <f>J19/J16</f>
        <v/>
      </c>
      <c r="K29">
        <f>K19/K16</f>
        <v/>
      </c>
      <c r="L29">
        <f>L19/L16</f>
        <v/>
      </c>
    </row>
    <row r="31">
      <c r="C31" t="inlineStr">
        <is>
          <t>Capex</t>
        </is>
      </c>
      <c r="E31" t="n">
        <v>10</v>
      </c>
      <c r="F31" t="n">
        <v>10</v>
      </c>
      <c r="G31" t="n">
        <v>40</v>
      </c>
      <c r="H31" t="n">
        <v>20</v>
      </c>
      <c r="I31" t="n">
        <v>10</v>
      </c>
      <c r="J31" t="n">
        <v>10</v>
      </c>
      <c r="K31" t="n">
        <v>10</v>
      </c>
      <c r="L31" t="n">
        <v>10</v>
      </c>
    </row>
    <row r="32">
      <c r="C32" t="inlineStr">
        <is>
          <t>Tax</t>
        </is>
      </c>
      <c r="E32" t="n">
        <v>5</v>
      </c>
      <c r="F32" t="n">
        <v>10</v>
      </c>
      <c r="G32" t="n">
        <v>10</v>
      </c>
      <c r="H32">
        <f>20%*H24</f>
        <v/>
      </c>
      <c r="I32" t="n">
        <v>20</v>
      </c>
      <c r="J32" t="n">
        <v>30</v>
      </c>
      <c r="K32" t="n">
        <v>35</v>
      </c>
      <c r="L32" t="n">
        <v>40</v>
      </c>
    </row>
    <row r="36">
      <c r="C36" s="3" t="inlineStr">
        <is>
          <t>Current assets</t>
        </is>
      </c>
      <c r="D36" s="3" t="n"/>
    </row>
    <row r="37">
      <c r="C37" s="3" t="n"/>
      <c r="D37" s="3" t="inlineStr">
        <is>
          <t>Cash and short-term investments</t>
        </is>
      </c>
    </row>
    <row r="38">
      <c r="D38" t="inlineStr">
        <is>
          <t>Inventory</t>
        </is>
      </c>
      <c r="E38" t="n">
        <v>30</v>
      </c>
      <c r="F38" t="n">
        <v>45</v>
      </c>
      <c r="G38" t="n">
        <v>45</v>
      </c>
      <c r="H38" t="n">
        <v>55</v>
      </c>
      <c r="I38" t="n">
        <v>70</v>
      </c>
      <c r="J38" t="n">
        <v>90</v>
      </c>
      <c r="K38" t="n">
        <v>100</v>
      </c>
      <c r="L38" t="n">
        <v>110</v>
      </c>
    </row>
    <row r="39">
      <c r="D39" t="inlineStr">
        <is>
          <t>Accounts receivable</t>
        </is>
      </c>
      <c r="E39" t="n">
        <v>20</v>
      </c>
      <c r="F39" t="n">
        <v>30</v>
      </c>
      <c r="G39" t="n">
        <v>30</v>
      </c>
      <c r="H39" t="n">
        <v>35</v>
      </c>
      <c r="I39" t="n">
        <v>44.99999999999999</v>
      </c>
      <c r="J39" t="n">
        <v>55</v>
      </c>
      <c r="K39" t="n">
        <v>65</v>
      </c>
      <c r="L39" t="n">
        <v>75</v>
      </c>
    </row>
    <row r="40">
      <c r="C40" s="3" t="n"/>
      <c r="D40" s="3" t="inlineStr">
        <is>
          <t>Prepaid expenses</t>
        </is>
      </c>
    </row>
    <row r="41" hidden="1" outlineLevel="1">
      <c r="C41" s="3" t="inlineStr">
        <is>
          <t>Fixed (long-term) assets</t>
        </is>
      </c>
      <c r="D41" s="3" t="n"/>
    </row>
    <row r="42" hidden="1" outlineLevel="1">
      <c r="C42" s="3" t="n"/>
      <c r="D42" s="3" t="inlineStr">
        <is>
          <t>Long-term investments</t>
        </is>
      </c>
    </row>
    <row r="43" hidden="1" outlineLevel="1">
      <c r="C43" s="3" t="n"/>
      <c r="D43" s="3" t="inlineStr">
        <is>
          <t>Property, plant and equipment</t>
        </is>
      </c>
    </row>
    <row r="44" hidden="1" outlineLevel="1">
      <c r="C44" s="3" t="n"/>
      <c r="D44" s="3" t="inlineStr">
        <is>
          <t>(less accumulated depreciation)</t>
        </is>
      </c>
    </row>
    <row r="45" hidden="1" outlineLevel="1">
      <c r="C45" s="3" t="n"/>
      <c r="D45" s="3" t="inlineStr">
        <is>
          <t>Intangible assets</t>
        </is>
      </c>
    </row>
    <row r="46" hidden="1" outlineLevel="1">
      <c r="C46" s="3" t="inlineStr">
        <is>
          <t>Other assets</t>
        </is>
      </c>
      <c r="D46" s="3" t="n"/>
    </row>
    <row r="47" hidden="1" outlineLevel="1">
      <c r="C47" s="3" t="n"/>
      <c r="D47" s="3" t="inlineStr">
        <is>
          <t>Deferred tax asset</t>
        </is>
      </c>
    </row>
    <row r="48" hidden="1" outlineLevel="1">
      <c r="C48" s="3" t="n"/>
      <c r="D48" s="3" t="n"/>
    </row>
    <row r="49" collapsed="1">
      <c r="C49" s="3" t="inlineStr">
        <is>
          <t>Total assets</t>
        </is>
      </c>
      <c r="D49" s="3" t="n"/>
    </row>
    <row r="50">
      <c r="C50" s="3" t="n"/>
      <c r="D50" s="3" t="n"/>
    </row>
    <row r="51">
      <c r="C51" s="3" t="inlineStr">
        <is>
          <t>Current liabilities</t>
        </is>
      </c>
      <c r="D51" s="3" t="n"/>
    </row>
    <row r="52">
      <c r="D52" t="inlineStr">
        <is>
          <t>Accounts payable</t>
        </is>
      </c>
      <c r="E52" t="n">
        <v>10</v>
      </c>
      <c r="F52" t="n">
        <v>15</v>
      </c>
      <c r="G52" t="n">
        <v>10</v>
      </c>
      <c r="H52" t="n">
        <v>15</v>
      </c>
      <c r="I52" t="n">
        <v>25</v>
      </c>
      <c r="J52" t="n">
        <v>30</v>
      </c>
      <c r="K52" t="n">
        <v>35</v>
      </c>
      <c r="L52" t="n">
        <v>40</v>
      </c>
    </row>
    <row r="53">
      <c r="C53" s="3" t="n"/>
      <c r="D53" s="3" t="inlineStr">
        <is>
          <t>Accrued salaries</t>
        </is>
      </c>
    </row>
    <row r="54">
      <c r="C54" s="3" t="n"/>
      <c r="D54" s="3" t="inlineStr">
        <is>
          <t>unearned revenue</t>
        </is>
      </c>
    </row>
    <row r="55">
      <c r="C55" s="3" t="inlineStr">
        <is>
          <t>Long term liabilities</t>
        </is>
      </c>
      <c r="D55" s="3" t="n"/>
    </row>
    <row r="56">
      <c r="C56" s="3" t="n"/>
      <c r="D56" s="3" t="inlineStr">
        <is>
          <t>Long-term debt</t>
        </is>
      </c>
    </row>
    <row r="57">
      <c r="C57" s="3" t="n"/>
      <c r="D57" s="3" t="inlineStr">
        <is>
          <t>Deferred income tax</t>
        </is>
      </c>
    </row>
    <row r="58">
      <c r="C58" s="3" t="inlineStr">
        <is>
          <t>Owners equity</t>
        </is>
      </c>
      <c r="D58" s="3" t="n"/>
    </row>
    <row r="60">
      <c r="D60" t="inlineStr">
        <is>
          <t>Operating working capital</t>
        </is>
      </c>
      <c r="E60">
        <f>E38+E39-E52</f>
        <v/>
      </c>
      <c r="F60">
        <f>F38+F39-F52</f>
        <v/>
      </c>
      <c r="G60">
        <f>G38+G39-G52</f>
        <v/>
      </c>
      <c r="H60">
        <f>H38+H39-H52</f>
        <v/>
      </c>
      <c r="I60">
        <f>I38+I39-I52</f>
        <v/>
      </c>
      <c r="J60">
        <f>J38+J39-J52</f>
        <v/>
      </c>
      <c r="K60">
        <f>K38+K39-K52</f>
        <v/>
      </c>
      <c r="L60">
        <f>L38+L39-L52</f>
        <v/>
      </c>
    </row>
    <row r="61">
      <c r="D61" t="inlineStr">
        <is>
          <t>Change in op WC</t>
        </is>
      </c>
      <c r="F61">
        <f>F60-E60</f>
        <v/>
      </c>
      <c r="G61">
        <f>G60-F60</f>
        <v/>
      </c>
      <c r="H61">
        <f>H60-G60</f>
        <v/>
      </c>
      <c r="I61">
        <f>I60-H60</f>
        <v/>
      </c>
      <c r="J61">
        <f>J60-I60</f>
        <v/>
      </c>
      <c r="K61">
        <f>K60-J60</f>
        <v/>
      </c>
      <c r="L61">
        <f>L60-K60</f>
        <v/>
      </c>
    </row>
    <row r="73">
      <c r="C73" t="inlineStr">
        <is>
          <t xml:space="preserve">Frame-tastic makes window frames and door frames. </t>
        </is>
      </c>
    </row>
    <row r="74">
      <c r="C74" t="inlineStr">
        <is>
          <t>Frame-tastic has been investing over recent years in branding their frames as ecologically friendly</t>
        </is>
      </c>
    </row>
    <row r="75">
      <c r="C75" t="inlineStr">
        <is>
          <t>Three years ago they made an investment in a new way to integrate frames with windows, which, they argue reduces heating bills for clients and is better for the environment</t>
        </is>
      </c>
    </row>
    <row r="76">
      <c r="C76" t="inlineStr">
        <is>
          <t>Last year they made an embarrassing data protection blunder which led to it being fined by the ICO. It also &lt;INSERT SOME HR OR LEGAL ISSUE HERE&gt;</t>
        </is>
      </c>
    </row>
    <row r="80">
      <c r="C80" t="inlineStr">
        <is>
          <t>Good Old Frames Plc went through an IPO last year. It was IPO'd at a valuation of 10 times its earnings. At the time its earnings growth had just reached a plateau, however they claimed that they had a strong sales pipeline and that its sales would grow, and indeed they grew by 20% over the last year</t>
        </is>
      </c>
    </row>
    <row r="81">
      <c r="C81" t="inlineStr">
        <is>
          <t>Superframes Ltd was sold four years ago for 9x its earnings. It operates mostly in Scotland and the North of England. It is a bit smaller than Frame-tastic.</t>
        </is>
      </c>
    </row>
  </sheetData>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rgb="FF009999"/>
    <outlinePr summaryBelow="1" summaryRight="1"/>
    <pageSetUpPr/>
  </sheetPr>
  <dimension ref="B3:B4"/>
  <sheetViews>
    <sheetView showGridLines="0" workbookViewId="0">
      <selection activeCell="B3" sqref="B3:B4"/>
    </sheetView>
  </sheetViews>
  <sheetFormatPr baseColWidth="8" defaultRowHeight="15"/>
  <sheetData>
    <row r="3" ht="33.75" customHeight="1">
      <c r="B3" s="85" t="inlineStr">
        <is>
          <t>FRAMETASTIC</t>
        </is>
      </c>
    </row>
    <row r="4" ht="33.75" customHeight="1">
      <c r="B4" s="85" t="inlineStr">
        <is>
          <t>COMPANY VALUATION</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59C78D"/>
    <outlinePr summaryBelow="1" summaryRight="1"/>
    <pageSetUpPr/>
  </sheetPr>
  <dimension ref="B1:U68"/>
  <sheetViews>
    <sheetView showGridLines="0" topLeftCell="A38" zoomScale="136" zoomScaleNormal="90" workbookViewId="0">
      <selection activeCell="C8" sqref="C8"/>
    </sheetView>
  </sheetViews>
  <sheetFormatPr baseColWidth="8" defaultColWidth="8.7109375" defaultRowHeight="15.95"/>
  <cols>
    <col width="8.7109375" customWidth="1" style="7" min="1" max="1"/>
    <col width="1.42578125" customWidth="1" style="7" min="2" max="2"/>
    <col width="13.140625" bestFit="1" customWidth="1" style="7" min="3" max="3"/>
    <col width="18.42578125" customWidth="1" style="7" min="4" max="4"/>
    <col width="8.42578125" customWidth="1" style="16" min="5" max="5"/>
    <col width="8.85546875" customWidth="1" style="7" min="6" max="6"/>
    <col width="8.42578125" customWidth="1" style="7" min="7" max="7"/>
    <col width="8.28515625" customWidth="1" style="7" min="8" max="8"/>
    <col width="7.85546875" customWidth="1" style="7" min="9" max="9"/>
    <col width="8.7109375" customWidth="1" style="7" min="10" max="10"/>
    <col width="9" customWidth="1" style="7" min="11" max="11"/>
    <col width="10.28515625" customWidth="1" style="7" min="12" max="12"/>
    <col width="9.7109375" customWidth="1" style="7" min="13" max="13"/>
    <col width="8.7109375" customWidth="1" style="7" min="14" max="14"/>
    <col width="8.85546875" bestFit="1" customWidth="1" style="7" min="15" max="15"/>
    <col width="1.42578125" customWidth="1" style="7" min="16" max="16"/>
    <col width="12.42578125" bestFit="1" customWidth="1" style="7" min="17" max="17"/>
    <col width="8.140625" bestFit="1" customWidth="1" style="7" min="18" max="18"/>
    <col width="9.42578125" bestFit="1" customWidth="1" style="7" min="19" max="19"/>
    <col width="8.7109375" customWidth="1" style="7" min="20" max="16384"/>
  </cols>
  <sheetData>
    <row r="1" ht="17.1" customHeight="1" thickBot="1">
      <c r="B1" s="74" t="n"/>
      <c r="C1" s="74" t="n"/>
      <c r="D1" s="74" t="n"/>
      <c r="E1" s="103" t="n"/>
      <c r="F1" s="74" t="n"/>
      <c r="G1" s="74" t="n"/>
      <c r="H1" s="74" t="n"/>
      <c r="I1" s="74" t="n"/>
      <c r="J1" s="74" t="n"/>
      <c r="K1" s="74" t="n"/>
      <c r="L1" s="74" t="n"/>
      <c r="M1" s="74" t="n"/>
      <c r="N1" s="74" t="n"/>
      <c r="O1" s="74" t="n"/>
      <c r="P1" s="74" t="n"/>
    </row>
    <row r="2">
      <c r="B2" s="86" t="n"/>
      <c r="C2" s="87" t="n"/>
      <c r="D2" s="87" t="n"/>
      <c r="E2" s="203" t="n"/>
      <c r="F2" s="87" t="n"/>
      <c r="G2" s="87" t="n"/>
      <c r="H2" s="87" t="n"/>
      <c r="I2" s="87" t="n"/>
      <c r="J2" s="87" t="n"/>
      <c r="K2" s="87" t="n"/>
      <c r="L2" s="87" t="n"/>
      <c r="M2" s="87" t="n"/>
      <c r="N2" s="87" t="n"/>
      <c r="O2" s="87" t="n"/>
      <c r="P2" s="88" t="n"/>
    </row>
    <row r="3">
      <c r="B3" s="89" t="n"/>
      <c r="C3" s="74" t="n"/>
      <c r="D3" s="74" t="n"/>
      <c r="E3" s="103" t="n"/>
      <c r="F3" s="74" t="n"/>
      <c r="G3" s="74" t="n"/>
      <c r="H3" s="74" t="n"/>
      <c r="I3" s="74" t="n"/>
      <c r="J3" s="74" t="n"/>
      <c r="K3" s="74" t="n"/>
      <c r="L3" s="74" t="n"/>
      <c r="M3" s="74" t="n"/>
      <c r="N3" s="74" t="n"/>
      <c r="O3" s="74" t="n"/>
      <c r="P3" s="91" t="n"/>
    </row>
    <row r="4">
      <c r="B4" s="89" t="n"/>
      <c r="C4" s="74" t="n"/>
      <c r="D4" s="74" t="n"/>
      <c r="E4" s="103" t="n"/>
      <c r="F4" s="74" t="n"/>
      <c r="G4" s="74" t="n"/>
      <c r="H4" s="74" t="n"/>
      <c r="I4" s="74" t="n"/>
      <c r="J4" s="74" t="n"/>
      <c r="K4" s="74" t="n"/>
      <c r="L4" s="74" t="n"/>
      <c r="M4" s="74" t="n"/>
      <c r="N4" s="74" t="n"/>
      <c r="O4" s="74" t="n"/>
      <c r="P4" s="91" t="n"/>
    </row>
    <row r="5">
      <c r="B5" s="89" t="n"/>
      <c r="C5" s="74" t="n"/>
      <c r="D5" s="74" t="n"/>
      <c r="E5" s="103" t="n"/>
      <c r="F5" s="74" t="n"/>
      <c r="G5" s="74" t="n"/>
      <c r="H5" s="74" t="n"/>
      <c r="I5" s="74" t="n"/>
      <c r="J5" s="74" t="n"/>
      <c r="K5" s="74" t="n"/>
      <c r="L5" s="74" t="n"/>
      <c r="M5" s="74" t="n"/>
      <c r="N5" s="74" t="n"/>
      <c r="O5" s="74" t="n"/>
      <c r="P5" s="91" t="n"/>
    </row>
    <row r="6">
      <c r="B6" s="89" t="n"/>
      <c r="C6" s="74" t="inlineStr">
        <is>
          <t>Company Name:</t>
        </is>
      </c>
      <c r="D6" s="74" t="n"/>
      <c r="E6" s="46" t="inlineStr">
        <is>
          <t>Frametastic</t>
        </is>
      </c>
      <c r="F6" s="47" t="n"/>
      <c r="G6" s="74" t="n"/>
      <c r="H6" s="74" t="n"/>
      <c r="I6" s="74" t="n"/>
      <c r="J6" s="74" t="inlineStr">
        <is>
          <t>Team Number:</t>
        </is>
      </c>
      <c r="K6" s="74" t="n"/>
      <c r="L6" s="72" t="n">
        <v>5</v>
      </c>
      <c r="M6" s="74" t="n"/>
      <c r="N6" s="74" t="n"/>
      <c r="O6" s="74" t="n"/>
      <c r="P6" s="91" t="n"/>
    </row>
    <row r="7">
      <c r="B7" s="89" t="n"/>
      <c r="C7" s="74" t="n"/>
      <c r="D7" s="74" t="n"/>
      <c r="E7" s="103" t="n"/>
      <c r="F7" s="74" t="n"/>
      <c r="G7" s="74" t="n"/>
      <c r="H7" s="74" t="n"/>
      <c r="I7" s="74" t="n"/>
      <c r="J7" s="74" t="n"/>
      <c r="K7" s="74" t="n"/>
      <c r="L7" s="74" t="n"/>
      <c r="M7" s="74" t="n"/>
      <c r="N7" s="74" t="n"/>
      <c r="O7" s="74" t="n"/>
      <c r="P7" s="91" t="n"/>
    </row>
    <row r="8">
      <c r="B8" s="40" t="inlineStr">
        <is>
          <t>1a. Project P&amp;L:</t>
        </is>
      </c>
      <c r="C8" s="29" t="n"/>
      <c r="D8" s="29" t="n"/>
      <c r="E8" s="51" t="n"/>
      <c r="F8" s="29" t="n"/>
      <c r="G8" s="29" t="n"/>
      <c r="H8" s="29" t="n"/>
      <c r="I8" s="29" t="n"/>
      <c r="J8" s="29" t="n"/>
      <c r="K8" s="29" t="n"/>
      <c r="L8" s="29" t="n"/>
      <c r="M8" s="29" t="n"/>
      <c r="N8" s="29" t="n"/>
      <c r="O8" s="29" t="n"/>
      <c r="P8" s="91" t="n"/>
    </row>
    <row r="9">
      <c r="B9" s="9" t="n"/>
      <c r="C9" s="10" t="n"/>
      <c r="D9" s="10" t="n"/>
      <c r="E9" s="17" t="n"/>
      <c r="F9" s="10" t="n"/>
      <c r="G9" s="10" t="n"/>
      <c r="H9" s="10" t="n"/>
      <c r="I9" s="10" t="n"/>
      <c r="J9" s="10" t="n"/>
      <c r="K9" s="10" t="n"/>
      <c r="L9" s="10" t="n"/>
      <c r="M9" s="10" t="n"/>
      <c r="N9" s="10" t="n"/>
      <c r="O9" s="74" t="n"/>
      <c r="P9" s="91" t="n"/>
    </row>
    <row r="10">
      <c r="B10" s="89" t="n"/>
      <c r="C10" s="204" t="n"/>
      <c r="D10" s="204" t="n"/>
      <c r="E10" s="205" t="n"/>
      <c r="F10" s="25" t="inlineStr">
        <is>
          <t>Historical</t>
        </is>
      </c>
      <c r="G10" s="25" t="n"/>
      <c r="H10" s="25" t="n"/>
      <c r="I10" s="25" t="n"/>
      <c r="J10" s="26" t="n"/>
      <c r="K10" s="25" t="inlineStr">
        <is>
          <t>Projected</t>
        </is>
      </c>
      <c r="L10" s="25" t="n"/>
      <c r="M10" s="25" t="n"/>
      <c r="N10" s="25" t="n"/>
      <c r="O10" s="25" t="n"/>
      <c r="P10" s="91" t="n"/>
    </row>
    <row r="11">
      <c r="B11" s="89" t="n"/>
      <c r="C11" s="42" t="inlineStr">
        <is>
          <t>(in € million)</t>
        </is>
      </c>
      <c r="D11" s="39" t="n"/>
      <c r="E11" s="50" t="inlineStr">
        <is>
          <t>Units:</t>
        </is>
      </c>
      <c r="F11" s="30" t="n">
        <v>2019</v>
      </c>
      <c r="G11" s="30" t="n">
        <v>2020</v>
      </c>
      <c r="H11" s="30" t="n">
        <v>2021</v>
      </c>
      <c r="I11" s="30" t="n">
        <v>2022</v>
      </c>
      <c r="J11" s="27" t="n">
        <v>2023</v>
      </c>
      <c r="K11" s="30" t="n">
        <v>2024</v>
      </c>
      <c r="L11" s="30" t="n">
        <v>2025</v>
      </c>
      <c r="M11" s="30" t="n">
        <v>2026</v>
      </c>
      <c r="N11" s="30" t="n">
        <v>2027</v>
      </c>
      <c r="O11" s="30" t="n">
        <v>2028</v>
      </c>
      <c r="P11" s="91" t="n"/>
    </row>
    <row r="12">
      <c r="B12" s="89" t="n"/>
      <c r="C12" s="74" t="n"/>
      <c r="D12" s="74" t="n"/>
      <c r="E12" s="103" t="n"/>
      <c r="F12" s="74" t="n"/>
      <c r="G12" s="74" t="n"/>
      <c r="H12" s="74" t="n"/>
      <c r="I12" s="74" t="n"/>
      <c r="J12" s="74" t="n"/>
      <c r="K12" s="65" t="n"/>
      <c r="L12" s="65" t="n"/>
      <c r="M12" s="65" t="n"/>
      <c r="N12" s="65" t="n"/>
      <c r="O12" s="65" t="n"/>
      <c r="P12" s="91" t="n"/>
    </row>
    <row r="13">
      <c r="B13" s="89" t="n"/>
      <c r="C13" s="11" t="inlineStr">
        <is>
          <t>Revenue</t>
        </is>
      </c>
      <c r="D13" s="11" t="n"/>
      <c r="E13" s="52" t="inlineStr">
        <is>
          <t>€</t>
        </is>
      </c>
      <c r="F13" s="11" t="n">
        <v>612</v>
      </c>
      <c r="G13" s="11" t="n">
        <v>662</v>
      </c>
      <c r="H13" s="11" t="n">
        <v>708</v>
      </c>
      <c r="I13" s="11" t="n">
        <v>723</v>
      </c>
      <c r="J13" s="11" t="n">
        <v>740</v>
      </c>
      <c r="K13" s="59">
        <f>J13*(1+K14)</f>
        <v/>
      </c>
      <c r="L13" s="59">
        <f>K13*(1+L14)</f>
        <v/>
      </c>
      <c r="M13" s="59">
        <f>L13*(1+M14)</f>
        <v/>
      </c>
      <c r="N13" s="59">
        <f>M13*(1+N14)</f>
        <v/>
      </c>
      <c r="O13" s="59">
        <f>N13*(1+O14)</f>
        <v/>
      </c>
      <c r="P13" s="91" t="n"/>
    </row>
    <row r="14">
      <c r="B14" s="89" t="n"/>
      <c r="C14" s="12" t="inlineStr">
        <is>
          <t>% growth</t>
        </is>
      </c>
      <c r="D14" s="12" t="n"/>
      <c r="E14" s="53" t="inlineStr">
        <is>
          <t>%</t>
        </is>
      </c>
      <c r="F14" s="20" t="n"/>
      <c r="G14" s="330">
        <f>G13/F13-1</f>
        <v/>
      </c>
      <c r="H14" s="330">
        <f>H13/G13-1</f>
        <v/>
      </c>
      <c r="I14" s="330">
        <f>I13/H13-1</f>
        <v/>
      </c>
      <c r="J14" s="330">
        <f>J13/I13-1</f>
        <v/>
      </c>
      <c r="K14" s="331" t="n">
        <v>0.04</v>
      </c>
      <c r="L14" s="331">
        <f>K14+0.2%</f>
        <v/>
      </c>
      <c r="M14" s="331">
        <f>L14+0.2%</f>
        <v/>
      </c>
      <c r="N14" s="331">
        <f>M14+0.2%</f>
        <v/>
      </c>
      <c r="O14" s="331">
        <f>N14+0.2%</f>
        <v/>
      </c>
      <c r="P14" s="91" t="n"/>
    </row>
    <row r="15">
      <c r="B15" s="89" t="n"/>
      <c r="C15" s="12" t="n"/>
      <c r="D15" s="12" t="n"/>
      <c r="E15" s="54" t="n"/>
      <c r="F15" s="12" t="n"/>
      <c r="G15" s="12" t="n"/>
      <c r="H15" s="12" t="n"/>
      <c r="I15" s="12" t="n"/>
      <c r="J15" s="12" t="n"/>
      <c r="K15" s="19" t="n"/>
      <c r="L15" s="19" t="n"/>
      <c r="M15" s="19" t="n"/>
      <c r="N15" s="19" t="n"/>
      <c r="O15" s="19" t="n"/>
      <c r="P15" s="91" t="n"/>
    </row>
    <row r="16">
      <c r="B16" s="89" t="n"/>
      <c r="C16" s="74" t="inlineStr">
        <is>
          <t>Cost of Goods Sold (COGS)</t>
        </is>
      </c>
      <c r="D16" s="74" t="n"/>
      <c r="E16" s="103" t="inlineStr">
        <is>
          <t>€</t>
        </is>
      </c>
      <c r="F16" s="74" t="n">
        <v>339</v>
      </c>
      <c r="G16" s="74" t="n">
        <v>372</v>
      </c>
      <c r="H16" s="74" t="n">
        <v>390</v>
      </c>
      <c r="I16" s="74" t="n">
        <v>391</v>
      </c>
      <c r="J16" s="74" t="n">
        <v>394</v>
      </c>
      <c r="K16" s="66">
        <f>K17*K$13</f>
        <v/>
      </c>
      <c r="L16" s="66">
        <f>L17*L$13</f>
        <v/>
      </c>
      <c r="M16" s="66">
        <f>M17*M$13</f>
        <v/>
      </c>
      <c r="N16" s="66">
        <f>N17*N$13</f>
        <v/>
      </c>
      <c r="O16" s="66">
        <f>O17*O$13</f>
        <v/>
      </c>
      <c r="P16" s="91" t="n"/>
    </row>
    <row r="17">
      <c r="B17" s="89" t="n"/>
      <c r="C17" s="12" t="inlineStr">
        <is>
          <t>% of revenue</t>
        </is>
      </c>
      <c r="D17" s="12" t="n"/>
      <c r="E17" s="54" t="inlineStr">
        <is>
          <t>%</t>
        </is>
      </c>
      <c r="F17" s="20" t="n"/>
      <c r="G17" s="330">
        <f>G16/G13</f>
        <v/>
      </c>
      <c r="H17" s="330">
        <f>H16/H13</f>
        <v/>
      </c>
      <c r="I17" s="330">
        <f>I16/I13</f>
        <v/>
      </c>
      <c r="J17" s="330">
        <f>J16/J13</f>
        <v/>
      </c>
      <c r="K17" s="331" t="n">
        <v>0.52</v>
      </c>
      <c r="L17" s="331" t="n">
        <v>0.52</v>
      </c>
      <c r="M17" s="331" t="n">
        <v>0.52</v>
      </c>
      <c r="N17" s="331" t="n">
        <v>0.52</v>
      </c>
      <c r="O17" s="331" t="n">
        <v>0.52</v>
      </c>
      <c r="P17" s="91" t="n"/>
      <c r="Q17" s="74" t="n"/>
    </row>
    <row r="18">
      <c r="B18" s="89" t="n"/>
      <c r="C18" s="74" t="n"/>
      <c r="D18" s="74" t="n"/>
      <c r="E18" s="103" t="n"/>
      <c r="F18" s="74" t="n"/>
      <c r="G18" s="74" t="n"/>
      <c r="H18" s="74" t="n"/>
      <c r="I18" s="74" t="n"/>
      <c r="J18" s="74" t="n"/>
      <c r="K18" s="18" t="n"/>
      <c r="L18" s="18" t="n"/>
      <c r="M18" s="18" t="n"/>
      <c r="N18" s="18" t="n"/>
      <c r="O18" s="18" t="n"/>
      <c r="P18" s="91" t="n"/>
      <c r="Q18" s="74" t="n"/>
    </row>
    <row r="19">
      <c r="B19" s="89" t="n"/>
      <c r="C19" s="74" t="inlineStr">
        <is>
          <t>Direct Labour</t>
        </is>
      </c>
      <c r="D19" s="74" t="n"/>
      <c r="E19" s="103" t="inlineStr">
        <is>
          <t>€</t>
        </is>
      </c>
      <c r="F19" s="74" t="n">
        <v>127</v>
      </c>
      <c r="G19" s="74" t="n">
        <v>134</v>
      </c>
      <c r="H19" s="74" t="n">
        <v>151</v>
      </c>
      <c r="I19" s="74" t="n">
        <v>157</v>
      </c>
      <c r="J19" s="74" t="n">
        <v>165</v>
      </c>
      <c r="K19" s="66">
        <f>K20*K$13</f>
        <v/>
      </c>
      <c r="L19" s="66">
        <f>L20*L$13</f>
        <v/>
      </c>
      <c r="M19" s="66">
        <f>M20*M$13</f>
        <v/>
      </c>
      <c r="N19" s="66">
        <f>N20*N$13</f>
        <v/>
      </c>
      <c r="O19" s="66">
        <f>O20*O$13</f>
        <v/>
      </c>
      <c r="P19" s="91" t="n"/>
      <c r="Q19" s="74" t="n"/>
    </row>
    <row r="20">
      <c r="B20" s="89" t="n"/>
      <c r="C20" s="12" t="inlineStr">
        <is>
          <t>% revenue</t>
        </is>
      </c>
      <c r="D20" s="12" t="n"/>
      <c r="E20" s="54" t="inlineStr">
        <is>
          <t>%</t>
        </is>
      </c>
      <c r="F20" s="20" t="n"/>
      <c r="G20" s="330">
        <f>G19/G13</f>
        <v/>
      </c>
      <c r="H20" s="330">
        <f>H19/H13</f>
        <v/>
      </c>
      <c r="I20" s="330">
        <f>I19/I13</f>
        <v/>
      </c>
      <c r="J20" s="330">
        <f>J19/J13</f>
        <v/>
      </c>
      <c r="K20" s="331">
        <f>AVERAGE($H$20:$J$20)</f>
        <v/>
      </c>
      <c r="L20" s="331">
        <f>AVERAGE($H$20:$J$20)</f>
        <v/>
      </c>
      <c r="M20" s="331">
        <f>AVERAGE($H$20:$J$20)</f>
        <v/>
      </c>
      <c r="N20" s="331">
        <f>AVERAGE($H$20:$J$20)</f>
        <v/>
      </c>
      <c r="O20" s="331">
        <f>AVERAGE($H$20:$J$20)</f>
        <v/>
      </c>
      <c r="P20" s="91" t="n"/>
      <c r="Q20" s="74" t="n"/>
    </row>
    <row r="21">
      <c r="B21" s="89" t="n"/>
      <c r="C21" s="74" t="n"/>
      <c r="D21" s="74" t="n"/>
      <c r="E21" s="211" t="n"/>
      <c r="F21" s="74" t="n"/>
      <c r="G21" s="74" t="n"/>
      <c r="H21" s="74" t="n"/>
      <c r="I21" s="74" t="n"/>
      <c r="J21" s="74" t="n"/>
      <c r="K21" s="74" t="n"/>
      <c r="L21" s="74" t="n"/>
      <c r="M21" s="74" t="n"/>
      <c r="N21" s="74" t="n"/>
      <c r="O21" s="74" t="n"/>
      <c r="P21" s="91" t="n"/>
      <c r="Q21" s="74" t="n"/>
    </row>
    <row r="22">
      <c r="B22" s="89" t="n"/>
      <c r="C22" s="57" t="inlineStr">
        <is>
          <t>Gross Profit</t>
        </is>
      </c>
      <c r="D22" s="209" t="n"/>
      <c r="E22" s="210" t="inlineStr">
        <is>
          <t>€</t>
        </is>
      </c>
      <c r="F22" s="57">
        <f>F13-F16-F19</f>
        <v/>
      </c>
      <c r="G22" s="57">
        <f>G13-G16-G19</f>
        <v/>
      </c>
      <c r="H22" s="57">
        <f>H13-H16-H19</f>
        <v/>
      </c>
      <c r="I22" s="57">
        <f>I13-I16-I19</f>
        <v/>
      </c>
      <c r="J22" s="57">
        <f>J13-J16-J19</f>
        <v/>
      </c>
      <c r="K22" s="58">
        <f>K13-K16-K19</f>
        <v/>
      </c>
      <c r="L22" s="58">
        <f>L13-L16-L19</f>
        <v/>
      </c>
      <c r="M22" s="58">
        <f>M13-M16-M19</f>
        <v/>
      </c>
      <c r="N22" s="58">
        <f>N13-N16-N19</f>
        <v/>
      </c>
      <c r="O22" s="58">
        <f>O13-O16-O19</f>
        <v/>
      </c>
      <c r="P22" s="91" t="n"/>
      <c r="Q22" s="74" t="n"/>
    </row>
    <row r="23">
      <c r="B23" s="89" t="n"/>
      <c r="C23" s="12" t="inlineStr">
        <is>
          <t>% of revenue</t>
        </is>
      </c>
      <c r="D23" s="12" t="n"/>
      <c r="E23" s="54" t="inlineStr">
        <is>
          <t>%</t>
        </is>
      </c>
      <c r="F23" s="330">
        <f>F22/F13</f>
        <v/>
      </c>
      <c r="G23" s="330">
        <f>G22/G13</f>
        <v/>
      </c>
      <c r="H23" s="330">
        <f>H22/H13</f>
        <v/>
      </c>
      <c r="I23" s="330">
        <f>I22/I13</f>
        <v/>
      </c>
      <c r="J23" s="330">
        <f>J22/J13</f>
        <v/>
      </c>
      <c r="K23" s="330">
        <f>K22/K13</f>
        <v/>
      </c>
      <c r="L23" s="330">
        <f>L22/L13</f>
        <v/>
      </c>
      <c r="M23" s="330">
        <f>M22/M13</f>
        <v/>
      </c>
      <c r="N23" s="330">
        <f>N22/N13</f>
        <v/>
      </c>
      <c r="O23" s="330">
        <f>O22/O13</f>
        <v/>
      </c>
      <c r="P23" s="91" t="n"/>
      <c r="Q23" s="74" t="n"/>
    </row>
    <row r="24">
      <c r="B24" s="89" t="n"/>
      <c r="C24" s="74" t="n"/>
      <c r="D24" s="74" t="n"/>
      <c r="E24" s="103" t="n"/>
      <c r="F24" s="74" t="n"/>
      <c r="G24" s="74" t="n"/>
      <c r="H24" s="74" t="n"/>
      <c r="I24" s="74" t="n"/>
      <c r="J24" s="74" t="n"/>
      <c r="K24" s="74" t="n"/>
      <c r="L24" s="74" t="n"/>
      <c r="M24" s="74" t="n"/>
      <c r="N24" s="74" t="n"/>
      <c r="O24" s="74" t="n"/>
      <c r="P24" s="91" t="n"/>
      <c r="Q24" s="74" t="n"/>
    </row>
    <row r="25">
      <c r="B25" s="89" t="n"/>
      <c r="C25" s="74" t="inlineStr">
        <is>
          <t>SG&amp;A</t>
        </is>
      </c>
      <c r="D25" s="74" t="n"/>
      <c r="E25" s="103" t="inlineStr">
        <is>
          <t>€</t>
        </is>
      </c>
      <c r="F25" s="74" t="n">
        <v>32</v>
      </c>
      <c r="G25" s="74" t="n">
        <v>32</v>
      </c>
      <c r="H25" s="74" t="n">
        <v>36</v>
      </c>
      <c r="I25" s="74" t="n">
        <v>41</v>
      </c>
      <c r="J25" s="74" t="n">
        <v>74</v>
      </c>
      <c r="K25" s="66">
        <f>K26*K$13</f>
        <v/>
      </c>
      <c r="L25" s="66">
        <f>L26*L$13</f>
        <v/>
      </c>
      <c r="M25" s="66">
        <f>M26*M$13</f>
        <v/>
      </c>
      <c r="N25" s="66">
        <f>N26*N$13</f>
        <v/>
      </c>
      <c r="O25" s="66">
        <f>O26*O$13</f>
        <v/>
      </c>
      <c r="P25" s="91" t="n"/>
      <c r="Q25" s="74" t="n"/>
    </row>
    <row r="26">
      <c r="B26" s="89" t="n"/>
      <c r="C26" s="12" t="inlineStr">
        <is>
          <t>% revenue</t>
        </is>
      </c>
      <c r="D26" s="12" t="n"/>
      <c r="E26" s="54" t="inlineStr">
        <is>
          <t>%</t>
        </is>
      </c>
      <c r="F26" s="20" t="n"/>
      <c r="G26" s="330">
        <f>G25/G13</f>
        <v/>
      </c>
      <c r="H26" s="330">
        <f>H25/H13</f>
        <v/>
      </c>
      <c r="I26" s="330">
        <f>I25/I13</f>
        <v/>
      </c>
      <c r="J26" s="330">
        <f>J25/J13</f>
        <v/>
      </c>
      <c r="K26" s="331">
        <f>AVERAGE($G$26:$I$26)</f>
        <v/>
      </c>
      <c r="L26" s="331">
        <f>AVERAGE($G$26:$I$26)</f>
        <v/>
      </c>
      <c r="M26" s="331">
        <f>AVERAGE($G$26:$I$26)</f>
        <v/>
      </c>
      <c r="N26" s="331">
        <f>AVERAGE($G$26:$I$26)</f>
        <v/>
      </c>
      <c r="O26" s="331">
        <f>AVERAGE($G$26:$I$26)</f>
        <v/>
      </c>
      <c r="P26" s="91" t="n"/>
      <c r="Q26" s="74" t="n"/>
    </row>
    <row r="27">
      <c r="B27" s="89" t="n"/>
      <c r="C27" s="74" t="n"/>
      <c r="D27" s="74" t="n"/>
      <c r="E27" s="103" t="n"/>
      <c r="F27" s="74" t="n"/>
      <c r="G27" s="74" t="n"/>
      <c r="H27" s="74" t="n"/>
      <c r="I27" s="74" t="n"/>
      <c r="J27" s="65" t="inlineStr">
        <is>
          <t>One off 30m</t>
        </is>
      </c>
      <c r="K27" s="18" t="n"/>
      <c r="L27" s="18" t="n"/>
      <c r="M27" s="18" t="n"/>
      <c r="N27" s="18" t="n"/>
      <c r="O27" s="18" t="n"/>
      <c r="P27" s="91" t="n"/>
      <c r="Q27" s="74" t="n"/>
    </row>
    <row r="28">
      <c r="B28" s="89" t="n"/>
      <c r="C28" s="74" t="inlineStr">
        <is>
          <t>Product Development</t>
        </is>
      </c>
      <c r="D28" s="74" t="n"/>
      <c r="E28" s="103" t="inlineStr">
        <is>
          <t>€</t>
        </is>
      </c>
      <c r="F28" s="74" t="n">
        <v>15</v>
      </c>
      <c r="G28" s="74" t="n">
        <v>16</v>
      </c>
      <c r="H28" s="74" t="n">
        <v>16</v>
      </c>
      <c r="I28" s="74" t="n">
        <v>16</v>
      </c>
      <c r="J28" s="74" t="n">
        <v>17</v>
      </c>
      <c r="K28" s="66">
        <f>K29*K$13</f>
        <v/>
      </c>
      <c r="L28" s="66">
        <f>L29*L$13</f>
        <v/>
      </c>
      <c r="M28" s="66">
        <f>M29*M$13</f>
        <v/>
      </c>
      <c r="N28" s="66">
        <f>N29*N$13</f>
        <v/>
      </c>
      <c r="O28" s="66">
        <f>O29*O$13</f>
        <v/>
      </c>
      <c r="P28" s="91" t="n"/>
      <c r="Q28" s="74" t="inlineStr">
        <is>
          <t>expected to drop</t>
        </is>
      </c>
    </row>
    <row r="29">
      <c r="B29" s="89" t="n"/>
      <c r="C29" s="12" t="inlineStr">
        <is>
          <t>% revenue</t>
        </is>
      </c>
      <c r="D29" s="12" t="n"/>
      <c r="E29" s="54" t="inlineStr">
        <is>
          <t>%</t>
        </is>
      </c>
      <c r="F29" s="20" t="n"/>
      <c r="G29" s="330">
        <f>G28/G13</f>
        <v/>
      </c>
      <c r="H29" s="330">
        <f>H28/H13</f>
        <v/>
      </c>
      <c r="I29" s="330">
        <f>I28/I13</f>
        <v/>
      </c>
      <c r="J29" s="330">
        <f>J28/J13</f>
        <v/>
      </c>
      <c r="K29" s="331">
        <f>2.2%</f>
        <v/>
      </c>
      <c r="L29" s="331">
        <f>K29-0.1%</f>
        <v/>
      </c>
      <c r="M29" s="331">
        <f>L29-0.1%</f>
        <v/>
      </c>
      <c r="N29" s="331">
        <f>M29</f>
        <v/>
      </c>
      <c r="O29" s="331">
        <f>N29</f>
        <v/>
      </c>
      <c r="P29" s="91" t="n"/>
      <c r="Q29" s="74" t="n"/>
    </row>
    <row r="30">
      <c r="B30" s="89" t="n"/>
      <c r="C30" s="74" t="n"/>
      <c r="D30" s="74" t="n"/>
      <c r="E30" s="211" t="n"/>
      <c r="F30" s="74" t="n"/>
      <c r="G30" s="74" t="n"/>
      <c r="H30" s="74" t="n"/>
      <c r="I30" s="74" t="n"/>
      <c r="J30" s="74" t="n"/>
      <c r="K30" s="74" t="n"/>
      <c r="L30" s="74" t="n"/>
      <c r="M30" s="74" t="n"/>
      <c r="N30" s="74" t="n"/>
      <c r="O30" s="74" t="n"/>
      <c r="P30" s="91" t="n"/>
      <c r="Q30" s="74" t="n"/>
    </row>
    <row r="31">
      <c r="B31" s="89" t="n"/>
      <c r="C31" s="57" t="inlineStr">
        <is>
          <t>EBITDA</t>
        </is>
      </c>
      <c r="D31" s="57" t="n"/>
      <c r="E31" s="210" t="inlineStr">
        <is>
          <t>€</t>
        </is>
      </c>
      <c r="F31" s="57">
        <f>F22-F25-F28</f>
        <v/>
      </c>
      <c r="G31" s="57">
        <f>G22-G25-G28</f>
        <v/>
      </c>
      <c r="H31" s="57">
        <f>H22-H25-H28</f>
        <v/>
      </c>
      <c r="I31" s="57">
        <f>I22-I25-I28</f>
        <v/>
      </c>
      <c r="J31" s="57">
        <f>J22-J25-J28</f>
        <v/>
      </c>
      <c r="K31" s="58">
        <f>K22-K25-K28</f>
        <v/>
      </c>
      <c r="L31" s="58">
        <f>L22-L25-L28</f>
        <v/>
      </c>
      <c r="M31" s="58">
        <f>M22-M25-M28</f>
        <v/>
      </c>
      <c r="N31" s="58">
        <f>N22-N25-N28</f>
        <v/>
      </c>
      <c r="O31" s="58">
        <f>O22-O25-O28</f>
        <v/>
      </c>
      <c r="P31" s="91" t="n"/>
      <c r="Q31" s="74" t="n"/>
    </row>
    <row r="32">
      <c r="B32" s="89" t="n"/>
      <c r="C32" s="12" t="inlineStr">
        <is>
          <t>EBITDA margin</t>
        </is>
      </c>
      <c r="E32" s="54" t="inlineStr">
        <is>
          <t>%</t>
        </is>
      </c>
      <c r="F32" s="332">
        <f>F31/F13</f>
        <v/>
      </c>
      <c r="G32" s="332">
        <f>G31/G13</f>
        <v/>
      </c>
      <c r="H32" s="332">
        <f>H31/H13</f>
        <v/>
      </c>
      <c r="I32" s="332">
        <f>I31/I13</f>
        <v/>
      </c>
      <c r="J32" s="332">
        <f>J31/J13</f>
        <v/>
      </c>
      <c r="K32" s="332">
        <f>K31/K13</f>
        <v/>
      </c>
      <c r="L32" s="332">
        <f>L31/L13</f>
        <v/>
      </c>
      <c r="M32" s="332">
        <f>M31/M13</f>
        <v/>
      </c>
      <c r="N32" s="332">
        <f>N31/N13</f>
        <v/>
      </c>
      <c r="O32" s="332">
        <f>O31/O13</f>
        <v/>
      </c>
      <c r="P32" s="91" t="n"/>
      <c r="Q32" s="74" t="n"/>
    </row>
    <row r="33">
      <c r="B33" s="89" t="n"/>
      <c r="C33" s="12" t="n"/>
      <c r="E33" s="55" t="n"/>
      <c r="F33" s="332" t="n"/>
      <c r="G33" s="332" t="n"/>
      <c r="H33" s="332" t="n"/>
      <c r="I33" s="332" t="n"/>
      <c r="J33" s="332" t="n"/>
      <c r="K33" s="332" t="n"/>
      <c r="L33" s="332" t="n"/>
      <c r="M33" s="332" t="n"/>
      <c r="N33" s="332" t="n"/>
      <c r="O33" s="332" t="n"/>
      <c r="P33" s="91" t="n"/>
      <c r="Q33" s="74" t="n"/>
      <c r="R33" s="74" t="n"/>
      <c r="S33" s="74" t="n"/>
      <c r="T33" s="74" t="n"/>
      <c r="U33" s="74" t="n"/>
    </row>
    <row r="34">
      <c r="B34" s="89" t="n"/>
      <c r="C34" s="74" t="inlineStr">
        <is>
          <t>D&amp;A</t>
        </is>
      </c>
      <c r="D34" s="74" t="n"/>
      <c r="E34" s="103" t="inlineStr">
        <is>
          <t>€</t>
        </is>
      </c>
      <c r="F34" s="75" t="n">
        <v>12</v>
      </c>
      <c r="G34" s="75" t="n">
        <v>15</v>
      </c>
      <c r="H34" s="75" t="n">
        <v>17</v>
      </c>
      <c r="I34" s="75" t="n">
        <v>18</v>
      </c>
      <c r="J34" s="75" t="n">
        <v>19</v>
      </c>
      <c r="K34" s="28">
        <f>(((J34-I34)/I34)+1)*J34</f>
        <v/>
      </c>
      <c r="L34" s="28">
        <f>(((K34-J34)/J34)+1)*K34</f>
        <v/>
      </c>
      <c r="M34" s="28">
        <f>(((L34-K34)/K34)+1)*L34</f>
        <v/>
      </c>
      <c r="N34" s="28">
        <f>(((M34-L34)/L34)+1)*M34</f>
        <v/>
      </c>
      <c r="O34" s="28">
        <f>(((N34-M34)/M34)+1)*N34</f>
        <v/>
      </c>
      <c r="P34" s="91" t="n"/>
      <c r="Q34" s="74" t="n"/>
      <c r="R34" s="74" t="n"/>
      <c r="S34" s="74" t="n"/>
      <c r="T34" s="74" t="n"/>
      <c r="U34" s="74" t="n"/>
    </row>
    <row r="35">
      <c r="B35" s="89" t="n"/>
      <c r="C35" s="74" t="n"/>
      <c r="D35" s="74" t="n"/>
      <c r="E35" s="211" t="n"/>
      <c r="F35" s="74" t="n"/>
      <c r="G35" s="74" t="n"/>
      <c r="H35" s="74" t="n"/>
      <c r="I35" s="74" t="n"/>
      <c r="J35" s="74" t="n"/>
      <c r="K35" s="48" t="n"/>
      <c r="L35" s="49" t="n"/>
      <c r="M35" s="49" t="n"/>
      <c r="N35" s="49" t="n"/>
      <c r="O35" s="49" t="n"/>
      <c r="P35" s="91" t="n"/>
      <c r="Q35" s="74" t="n"/>
      <c r="R35" s="74" t="n"/>
      <c r="S35" s="74" t="n"/>
      <c r="T35" s="74" t="n"/>
      <c r="U35" s="74" t="n"/>
    </row>
    <row r="36">
      <c r="B36" s="89" t="n"/>
      <c r="C36" s="57" t="inlineStr">
        <is>
          <t xml:space="preserve">EBIT  </t>
        </is>
      </c>
      <c r="D36" s="57" t="n"/>
      <c r="E36" s="210" t="inlineStr">
        <is>
          <t>€</t>
        </is>
      </c>
      <c r="F36" s="58">
        <f>F31-F34</f>
        <v/>
      </c>
      <c r="G36" s="58">
        <f>G31-G34</f>
        <v/>
      </c>
      <c r="H36" s="58">
        <f>H31-H34</f>
        <v/>
      </c>
      <c r="I36" s="58">
        <f>I31-I34</f>
        <v/>
      </c>
      <c r="J36" s="58">
        <f>J31-J34</f>
        <v/>
      </c>
      <c r="K36" s="58">
        <f>K31-K34</f>
        <v/>
      </c>
      <c r="L36" s="58">
        <f>L31-L34</f>
        <v/>
      </c>
      <c r="M36" s="58">
        <f>M31-M34</f>
        <v/>
      </c>
      <c r="N36" s="58">
        <f>N31-N34</f>
        <v/>
      </c>
      <c r="O36" s="58">
        <f>O31-O34</f>
        <v/>
      </c>
      <c r="P36" s="91" t="n"/>
      <c r="Q36" s="74" t="n"/>
      <c r="R36" s="74" t="n"/>
      <c r="S36" s="74" t="n"/>
      <c r="T36" s="74" t="n"/>
      <c r="U36" s="74" t="n"/>
    </row>
    <row r="37">
      <c r="B37" s="89" t="n"/>
      <c r="C37" s="12" t="inlineStr">
        <is>
          <t>EBIT margin</t>
        </is>
      </c>
      <c r="E37" s="54" t="inlineStr">
        <is>
          <t>%</t>
        </is>
      </c>
      <c r="F37" s="332">
        <f>F36/F13</f>
        <v/>
      </c>
      <c r="G37" s="332">
        <f>G36/G13</f>
        <v/>
      </c>
      <c r="H37" s="332">
        <f>H36/H13</f>
        <v/>
      </c>
      <c r="I37" s="332">
        <f>I36/I13</f>
        <v/>
      </c>
      <c r="J37" s="332">
        <f>J36/J13</f>
        <v/>
      </c>
      <c r="K37" s="332">
        <f>K36/K13</f>
        <v/>
      </c>
      <c r="L37" s="332">
        <f>L36/L13</f>
        <v/>
      </c>
      <c r="M37" s="332">
        <f>M36/M13</f>
        <v/>
      </c>
      <c r="N37" s="332">
        <f>N36/N13</f>
        <v/>
      </c>
      <c r="O37" s="332">
        <f>O36/O13</f>
        <v/>
      </c>
      <c r="P37" s="91" t="n"/>
      <c r="Q37" s="74" t="n"/>
      <c r="R37" s="74" t="n"/>
      <c r="S37" s="74" t="n"/>
      <c r="T37" s="74" t="n"/>
      <c r="U37" s="74" t="n"/>
    </row>
    <row r="38">
      <c r="B38" s="89" t="n"/>
      <c r="C38" s="74" t="n"/>
      <c r="D38" s="74" t="n"/>
      <c r="E38" s="103" t="n"/>
      <c r="F38" s="74" t="n"/>
      <c r="G38" s="74" t="n"/>
      <c r="H38" s="74" t="n"/>
      <c r="I38" s="74" t="n"/>
      <c r="J38" s="74" t="n"/>
      <c r="K38" s="48" t="n"/>
      <c r="L38" s="49" t="n"/>
      <c r="M38" s="49" t="n"/>
      <c r="N38" s="49" t="n"/>
      <c r="O38" s="49" t="n"/>
      <c r="P38" s="91" t="n"/>
      <c r="Q38" s="74" t="n"/>
      <c r="R38" s="74" t="n"/>
      <c r="S38" s="74" t="n"/>
      <c r="T38" s="74" t="n"/>
      <c r="U38" s="74" t="n"/>
    </row>
    <row r="39">
      <c r="B39" s="89" t="n"/>
      <c r="C39" s="74" t="inlineStr">
        <is>
          <t>Interest Expense - TLB</t>
        </is>
      </c>
      <c r="D39" s="74" t="n"/>
      <c r="E39" s="103" t="inlineStr">
        <is>
          <t>€</t>
        </is>
      </c>
      <c r="F39" s="74" t="n"/>
      <c r="G39" s="74" t="n"/>
      <c r="H39" s="74" t="n"/>
      <c r="I39" s="74" t="n"/>
      <c r="J39" s="74" t="n"/>
      <c r="K39" s="75">
        <f>($E$54+$E$55)*$E$53</f>
        <v/>
      </c>
      <c r="L39" s="75">
        <f>($E$54+$E$55)*$E$53</f>
        <v/>
      </c>
      <c r="M39" s="75">
        <f>($E$54+$E$55)*$E$53</f>
        <v/>
      </c>
      <c r="N39" s="75">
        <f>($E$54+$E$55)*$E$53</f>
        <v/>
      </c>
      <c r="O39" s="75">
        <f>($E$54+$E$55)*$E$53</f>
        <v/>
      </c>
      <c r="P39" s="91" t="n"/>
      <c r="Q39" s="74" t="n"/>
      <c r="R39" s="74" t="n"/>
      <c r="S39" s="74" t="n"/>
      <c r="T39" s="74" t="n"/>
      <c r="U39" s="74" t="n"/>
    </row>
    <row r="40">
      <c r="B40" s="89" t="n"/>
      <c r="C40" s="74" t="n"/>
      <c r="D40" s="74" t="n"/>
      <c r="E40" s="103" t="n"/>
      <c r="F40" s="74" t="n"/>
      <c r="G40" s="74" t="n"/>
      <c r="H40" s="74" t="n"/>
      <c r="I40" s="74" t="n"/>
      <c r="J40" s="74" t="n"/>
      <c r="K40" s="75" t="n"/>
      <c r="L40" s="75" t="n"/>
      <c r="M40" s="75" t="n"/>
      <c r="N40" s="75" t="n"/>
      <c r="O40" s="75" t="n"/>
      <c r="P40" s="91" t="n"/>
      <c r="Q40" s="74" t="n"/>
      <c r="R40" s="74" t="n"/>
      <c r="S40" s="74" t="n"/>
      <c r="T40" s="74" t="n"/>
      <c r="U40" s="74" t="n"/>
    </row>
    <row r="41">
      <c r="B41" s="89" t="n"/>
      <c r="C41" s="57" t="inlineStr">
        <is>
          <t>EBT</t>
        </is>
      </c>
      <c r="D41" s="57" t="n"/>
      <c r="E41" s="210" t="inlineStr">
        <is>
          <t>€</t>
        </is>
      </c>
      <c r="F41" s="58" t="n"/>
      <c r="G41" s="58" t="n"/>
      <c r="H41" s="58" t="n"/>
      <c r="I41" s="58" t="n"/>
      <c r="J41" s="58" t="n"/>
      <c r="K41" s="58">
        <f>K36-K39</f>
        <v/>
      </c>
      <c r="L41" s="58">
        <f>L36-L39</f>
        <v/>
      </c>
      <c r="M41" s="58">
        <f>M36-M39</f>
        <v/>
      </c>
      <c r="N41" s="58">
        <f>N36-N39</f>
        <v/>
      </c>
      <c r="O41" s="58">
        <f>O36-O39</f>
        <v/>
      </c>
      <c r="P41" s="91" t="n"/>
      <c r="Q41" s="74" t="n"/>
      <c r="R41" s="74" t="n"/>
      <c r="S41" s="74" t="n"/>
      <c r="T41" s="74" t="n"/>
      <c r="U41" s="74" t="n"/>
    </row>
    <row r="42">
      <c r="B42" s="89" t="n"/>
      <c r="C42" s="74" t="n"/>
      <c r="D42" s="74" t="n"/>
      <c r="E42" s="103" t="n"/>
      <c r="F42" s="74" t="n"/>
      <c r="G42" s="74" t="n"/>
      <c r="H42" s="74" t="n"/>
      <c r="I42" s="74" t="n"/>
      <c r="J42" s="74" t="n"/>
      <c r="K42" s="74" t="n"/>
      <c r="L42" s="74" t="n"/>
      <c r="M42" s="74" t="n"/>
      <c r="N42" s="74" t="n"/>
      <c r="O42" s="74" t="n"/>
      <c r="P42" s="91" t="n"/>
      <c r="Q42" s="74" t="n"/>
      <c r="R42" s="74" t="n"/>
      <c r="S42" s="74" t="n"/>
      <c r="T42" s="74" t="n"/>
      <c r="U42" s="74" t="n"/>
    </row>
    <row r="43">
      <c r="B43" s="89" t="n"/>
      <c r="C43" s="74" t="n"/>
      <c r="D43" s="62" t="inlineStr">
        <is>
          <t>(Enter German Corporate Tax Rate)</t>
        </is>
      </c>
      <c r="E43" s="103" t="n"/>
      <c r="F43" s="74" t="n"/>
      <c r="G43" s="74" t="n"/>
      <c r="H43" s="74" t="n"/>
      <c r="I43" s="74" t="n"/>
      <c r="J43" s="74" t="n"/>
      <c r="K43" s="74" t="n"/>
      <c r="L43" s="74" t="n"/>
      <c r="M43" s="74" t="n"/>
      <c r="N43" s="74" t="n"/>
      <c r="O43" s="74" t="n"/>
      <c r="P43" s="91" t="n"/>
      <c r="Q43" s="74" t="n"/>
      <c r="R43" s="74" t="n"/>
      <c r="S43" s="74" t="n"/>
      <c r="T43" s="74" t="n"/>
      <c r="U43" s="74" t="n"/>
    </row>
    <row r="44">
      <c r="B44" s="89" t="n"/>
      <c r="C44" s="102" t="inlineStr">
        <is>
          <t>Tax    @</t>
        </is>
      </c>
      <c r="D44" s="33" t="n">
        <v>0.15</v>
      </c>
      <c r="E44" s="103" t="inlineStr">
        <is>
          <t>€</t>
        </is>
      </c>
      <c r="F44" s="75" t="n"/>
      <c r="G44" s="75" t="n"/>
      <c r="H44" s="75" t="n"/>
      <c r="I44" s="75" t="n"/>
      <c r="J44" s="75" t="n"/>
      <c r="K44" s="75">
        <f>K41*$D44</f>
        <v/>
      </c>
      <c r="L44" s="75">
        <f>L41*$D44</f>
        <v/>
      </c>
      <c r="M44" s="75">
        <f>M41*$D44</f>
        <v/>
      </c>
      <c r="N44" s="75">
        <f>N41*$D44</f>
        <v/>
      </c>
      <c r="O44" s="75">
        <f>O41*$D44</f>
        <v/>
      </c>
      <c r="P44" s="91" t="n"/>
      <c r="Q44" s="74" t="n"/>
      <c r="R44" s="74" t="n"/>
      <c r="S44" s="74" t="n"/>
      <c r="T44" s="74" t="n"/>
      <c r="U44" s="74" t="n"/>
    </row>
    <row r="45">
      <c r="B45" s="89" t="n"/>
      <c r="C45" s="74" t="n"/>
      <c r="D45" s="74" t="n"/>
      <c r="E45" s="211" t="n"/>
      <c r="F45" s="74" t="n"/>
      <c r="G45" s="74" t="n"/>
      <c r="H45" s="74" t="n"/>
      <c r="I45" s="74" t="n"/>
      <c r="J45" s="74" t="n"/>
      <c r="K45" s="74" t="n"/>
      <c r="L45" s="74" t="n"/>
      <c r="M45" s="74" t="n"/>
      <c r="N45" s="74" t="n"/>
      <c r="O45" s="74" t="n"/>
      <c r="P45" s="91" t="n"/>
      <c r="Q45" s="74" t="n"/>
      <c r="R45" s="74" t="n"/>
      <c r="S45" s="74" t="n"/>
      <c r="T45" s="74" t="n"/>
      <c r="U45" s="74" t="inlineStr">
        <is>
          <t xml:space="preserve"> </t>
        </is>
      </c>
    </row>
    <row r="46" ht="17.1" customHeight="1" thickBot="1">
      <c r="B46" s="89" t="n"/>
      <c r="C46" s="8" t="inlineStr">
        <is>
          <t>Net Income</t>
        </is>
      </c>
      <c r="D46" s="194" t="n"/>
      <c r="E46" s="213" t="inlineStr">
        <is>
          <t>€</t>
        </is>
      </c>
      <c r="F46" s="14" t="n"/>
      <c r="G46" s="14" t="n"/>
      <c r="H46" s="14" t="n"/>
      <c r="I46" s="14" t="n"/>
      <c r="J46" s="14" t="n"/>
      <c r="K46" s="14">
        <f>K41-K44</f>
        <v/>
      </c>
      <c r="L46" s="14">
        <f>L41-L44</f>
        <v/>
      </c>
      <c r="M46" s="14">
        <f>M41-M44</f>
        <v/>
      </c>
      <c r="N46" s="14">
        <f>N41-N44</f>
        <v/>
      </c>
      <c r="O46" s="14">
        <f>O41-O44</f>
        <v/>
      </c>
      <c r="P46" s="91" t="n"/>
      <c r="Q46" s="74" t="n"/>
      <c r="R46" s="74" t="n"/>
      <c r="S46" s="74" t="n"/>
      <c r="T46" s="74" t="n"/>
      <c r="U46" s="74" t="n"/>
    </row>
    <row r="47">
      <c r="B47" s="89" t="n"/>
      <c r="C47" s="12" t="inlineStr">
        <is>
          <t>Net Income Margin</t>
        </is>
      </c>
      <c r="E47" s="54" t="inlineStr">
        <is>
          <t>%</t>
        </is>
      </c>
      <c r="F47" s="332" t="n"/>
      <c r="G47" s="332" t="n"/>
      <c r="H47" s="332" t="n"/>
      <c r="I47" s="332" t="n"/>
      <c r="J47" s="332" t="n"/>
      <c r="K47" s="332">
        <f>K46/K13</f>
        <v/>
      </c>
      <c r="L47" s="332">
        <f>L46/L13</f>
        <v/>
      </c>
      <c r="M47" s="332">
        <f>M46/M13</f>
        <v/>
      </c>
      <c r="N47" s="332">
        <f>N46/N13</f>
        <v/>
      </c>
      <c r="O47" s="332">
        <f>O46/O13</f>
        <v/>
      </c>
      <c r="P47" s="91" t="n"/>
      <c r="Q47" s="74" t="n"/>
      <c r="R47" s="74" t="n"/>
      <c r="S47" s="74" t="n"/>
      <c r="T47" s="74" t="n"/>
      <c r="U47" s="74" t="n"/>
    </row>
    <row r="48" ht="17.1" customHeight="1" thickBot="1">
      <c r="B48" s="147" t="n"/>
      <c r="C48" s="152" t="n"/>
      <c r="D48" s="152" t="n"/>
      <c r="E48" s="161" t="n"/>
      <c r="F48" s="152" t="n"/>
      <c r="G48" s="152" t="n"/>
      <c r="H48" s="152" t="n"/>
      <c r="I48" s="152" t="n"/>
      <c r="J48" s="152" t="n"/>
      <c r="K48" s="152" t="n"/>
      <c r="L48" s="152" t="n"/>
      <c r="M48" s="152" t="n"/>
      <c r="N48" s="152" t="n"/>
      <c r="O48" s="152" t="n"/>
      <c r="P48" s="150" t="n"/>
      <c r="Q48" s="74" t="n"/>
      <c r="R48" s="74" t="n"/>
      <c r="S48" s="74" t="n"/>
      <c r="T48" s="74" t="n"/>
      <c r="U48" s="74" t="n"/>
    </row>
    <row r="50" ht="17.1" customHeight="1" thickBot="1">
      <c r="B50" s="74" t="n"/>
      <c r="C50" s="74" t="n"/>
      <c r="D50" s="74" t="n"/>
      <c r="E50" s="103" t="n"/>
      <c r="F50" s="74" t="n"/>
      <c r="G50" s="74" t="n"/>
      <c r="H50" s="74" t="n"/>
      <c r="I50" s="74" t="n"/>
      <c r="J50" s="74" t="n"/>
      <c r="K50" s="74" t="n"/>
      <c r="L50" s="74" t="n"/>
      <c r="M50" s="74" t="n"/>
      <c r="N50" s="74" t="n"/>
      <c r="O50" s="74" t="n"/>
      <c r="P50" s="74" t="n"/>
    </row>
    <row r="51">
      <c r="B51" s="43" t="inlineStr">
        <is>
          <t>1b. DCM Table:</t>
        </is>
      </c>
      <c r="C51" s="44" t="n"/>
      <c r="D51" s="44" t="n"/>
      <c r="E51" s="56" t="n"/>
      <c r="F51" s="44" t="n"/>
      <c r="G51" s="45" t="n"/>
      <c r="H51" s="74" t="n"/>
      <c r="I51" s="10" t="n"/>
      <c r="J51" s="11" t="inlineStr">
        <is>
          <t>EV</t>
        </is>
      </c>
      <c r="K51" s="74" t="n"/>
      <c r="L51" s="11">
        <f>J31*5.5</f>
        <v/>
      </c>
      <c r="M51" s="11" t="n"/>
      <c r="N51" s="11" t="n"/>
      <c r="O51" s="11" t="n"/>
      <c r="P51" s="10" t="n"/>
    </row>
    <row r="52">
      <c r="B52" s="24" t="n"/>
      <c r="C52" s="10" t="n"/>
      <c r="D52" s="10" t="n"/>
      <c r="E52" s="17" t="n"/>
      <c r="F52" s="10" t="n"/>
      <c r="G52" s="23" t="n"/>
      <c r="H52" s="74" t="n"/>
      <c r="I52" s="11" t="n"/>
      <c r="J52" s="11" t="n"/>
      <c r="K52" s="74" t="n"/>
      <c r="L52" s="83" t="n"/>
      <c r="M52" s="11" t="n"/>
      <c r="N52" s="74" t="n"/>
      <c r="O52" s="74" t="n"/>
      <c r="P52" s="74" t="n"/>
    </row>
    <row r="53">
      <c r="B53" s="89" t="n"/>
      <c r="C53" s="329" t="inlineStr">
        <is>
          <t>Debt (Term Loan B) Amount</t>
        </is>
      </c>
      <c r="D53" s="329" t="n"/>
      <c r="E53" s="73" t="n">
        <v>495</v>
      </c>
      <c r="F53" s="74" t="n"/>
      <c r="G53" s="91" t="n"/>
      <c r="H53" s="74" t="n"/>
      <c r="I53" s="74" t="n"/>
      <c r="J53" s="84" t="n"/>
      <c r="K53" s="84" t="n"/>
      <c r="L53" s="84" t="n"/>
      <c r="M53" s="84" t="n"/>
      <c r="N53" s="81" t="n"/>
      <c r="O53" s="74" t="n"/>
      <c r="P53" s="74" t="n"/>
    </row>
    <row r="54">
      <c r="B54" s="61" t="n"/>
      <c r="C54" s="329" t="inlineStr">
        <is>
          <t>TLB Interest Premium</t>
        </is>
      </c>
      <c r="D54" s="329" t="n"/>
      <c r="E54" s="33" t="n">
        <v>0.0275</v>
      </c>
      <c r="F54" s="74" t="n"/>
      <c r="G54" s="91" t="n"/>
      <c r="H54" s="74" t="n"/>
      <c r="I54" s="74" t="n"/>
      <c r="J54" s="328" t="n"/>
      <c r="N54" s="82" t="n"/>
      <c r="O54" s="74" t="n"/>
      <c r="P54" s="74" t="n"/>
    </row>
    <row r="55">
      <c r="B55" s="61" t="n"/>
      <c r="C55" s="329" t="inlineStr">
        <is>
          <t>EURIBOR</t>
        </is>
      </c>
      <c r="D55" s="329" t="n"/>
      <c r="E55" s="33" t="n">
        <v>0.02</v>
      </c>
      <c r="F55" s="74" t="n"/>
      <c r="G55" s="91" t="n"/>
      <c r="H55" s="74" t="n"/>
      <c r="I55" s="74" t="n"/>
      <c r="J55" s="328" t="n"/>
      <c r="K55" s="328" t="n"/>
      <c r="L55" s="328" t="n"/>
      <c r="M55" s="328" t="n"/>
      <c r="N55" s="82" t="n"/>
      <c r="O55" s="74" t="n"/>
      <c r="P55" s="74" t="n"/>
    </row>
    <row r="56" ht="17.1" customHeight="1" thickBot="1">
      <c r="B56" s="147" t="n"/>
      <c r="C56" s="69" t="n"/>
      <c r="D56" s="69" t="n"/>
      <c r="E56" s="70" t="n"/>
      <c r="F56" s="152" t="n"/>
      <c r="G56" s="150" t="n"/>
      <c r="H56" s="74" t="n"/>
      <c r="I56" s="74" t="n"/>
      <c r="J56" s="74" t="n"/>
      <c r="K56" s="74" t="n"/>
      <c r="L56" s="74" t="n"/>
      <c r="M56" s="74" t="n"/>
      <c r="N56" s="74" t="n"/>
      <c r="O56" s="74" t="n"/>
      <c r="P56" s="74" t="n"/>
    </row>
    <row r="57">
      <c r="B57" s="74" t="n"/>
      <c r="C57" s="74" t="n"/>
      <c r="D57" s="74" t="n"/>
      <c r="E57" s="103" t="n"/>
      <c r="F57" s="17" t="n"/>
      <c r="G57" s="17" t="n"/>
      <c r="H57" s="17" t="n"/>
      <c r="I57" s="74" t="n"/>
      <c r="J57" s="74" t="n"/>
      <c r="K57" s="74" t="n"/>
      <c r="L57" s="74" t="n"/>
      <c r="M57" s="74" t="n"/>
      <c r="N57" s="74" t="n"/>
      <c r="O57" s="74" t="n"/>
      <c r="P57" s="74" t="n"/>
    </row>
    <row r="58">
      <c r="B58" s="74" t="n"/>
      <c r="C58" s="74" t="n"/>
      <c r="D58" s="74" t="n"/>
      <c r="E58" s="74" t="n"/>
      <c r="F58" s="74" t="n"/>
      <c r="G58" s="74" t="n"/>
      <c r="H58" s="74" t="n"/>
      <c r="I58" s="74" t="n"/>
      <c r="J58" s="74" t="n"/>
      <c r="K58" s="74" t="n"/>
      <c r="L58" s="74" t="n"/>
      <c r="M58" s="74" t="n"/>
      <c r="N58" s="74" t="n"/>
      <c r="O58" s="74" t="n"/>
      <c r="P58" s="74" t="n"/>
    </row>
    <row r="59">
      <c r="B59" s="74" t="n"/>
      <c r="C59" s="74" t="n"/>
      <c r="D59" s="74" t="n"/>
      <c r="E59" s="74" t="n"/>
      <c r="F59" s="74" t="n"/>
      <c r="G59" s="74" t="n"/>
      <c r="H59" s="74" t="n"/>
      <c r="I59" s="74" t="n"/>
      <c r="J59" s="74" t="n"/>
      <c r="K59" s="74" t="n"/>
      <c r="L59" s="74" t="n"/>
      <c r="M59" s="74" t="n"/>
      <c r="N59" s="74" t="n"/>
      <c r="O59" s="74" t="n"/>
      <c r="P59" s="74" t="n"/>
    </row>
    <row r="60">
      <c r="B60" s="74" t="n"/>
      <c r="C60" s="74" t="n"/>
      <c r="D60" s="74" t="n"/>
      <c r="E60" s="74" t="n"/>
      <c r="F60" s="74" t="n"/>
      <c r="G60" s="74" t="n"/>
      <c r="H60" s="74" t="n"/>
      <c r="I60" s="74" t="n"/>
      <c r="J60" s="74" t="n"/>
      <c r="K60" s="74" t="n"/>
      <c r="L60" s="74" t="n"/>
      <c r="M60" s="74" t="n"/>
      <c r="N60" s="74" t="n"/>
      <c r="O60" s="74" t="n"/>
      <c r="P60" s="74" t="n"/>
    </row>
    <row r="61">
      <c r="B61" s="74" t="n"/>
      <c r="C61" s="74" t="n"/>
      <c r="D61" s="74" t="n"/>
      <c r="E61" s="74" t="n"/>
      <c r="F61" s="74" t="n"/>
      <c r="G61" s="74" t="n"/>
      <c r="H61" s="74" t="n"/>
      <c r="I61" s="74" t="n"/>
      <c r="J61" s="74" t="n"/>
      <c r="K61" s="74" t="n"/>
      <c r="L61" s="74" t="n"/>
      <c r="M61" s="74" t="n"/>
      <c r="N61" s="74" t="n"/>
      <c r="O61" s="74" t="n"/>
      <c r="P61" s="74" t="n"/>
    </row>
    <row r="62">
      <c r="B62" s="74" t="n"/>
      <c r="C62" s="74" t="n"/>
      <c r="D62" s="74" t="n"/>
      <c r="E62" s="74" t="n"/>
      <c r="F62" s="74" t="n"/>
      <c r="G62" s="74" t="n"/>
      <c r="H62" s="74" t="n"/>
      <c r="I62" s="74" t="n"/>
      <c r="J62" s="74" t="n"/>
      <c r="K62" s="74" t="n"/>
      <c r="L62" s="74" t="n"/>
      <c r="M62" s="74" t="n"/>
      <c r="N62" s="74" t="n"/>
      <c r="O62" s="74" t="n"/>
      <c r="P62" s="74" t="n"/>
    </row>
    <row r="63">
      <c r="B63" s="74" t="n"/>
      <c r="C63" s="74" t="n"/>
      <c r="D63" s="74" t="n"/>
      <c r="E63" s="74" t="n"/>
      <c r="F63" s="74" t="n"/>
      <c r="G63" s="74" t="n"/>
      <c r="H63" s="74" t="n"/>
      <c r="I63" s="74" t="n"/>
      <c r="J63" s="74" t="n"/>
      <c r="K63" s="74" t="n"/>
      <c r="L63" s="74" t="n"/>
      <c r="M63" s="74" t="n"/>
      <c r="N63" s="74" t="n"/>
      <c r="O63" s="74" t="n"/>
      <c r="P63" s="74" t="n"/>
    </row>
    <row r="64">
      <c r="B64" s="74" t="n"/>
      <c r="C64" s="74" t="n"/>
      <c r="D64" s="74" t="n"/>
      <c r="E64" s="103" t="n"/>
      <c r="F64" s="333" t="n"/>
      <c r="G64" s="333" t="n"/>
      <c r="H64" s="333" t="n"/>
      <c r="I64" s="74" t="n"/>
      <c r="J64" s="74" t="n"/>
      <c r="K64" s="74" t="n"/>
      <c r="L64" s="74" t="n"/>
      <c r="M64" s="74" t="n"/>
      <c r="N64" s="74" t="n"/>
      <c r="O64" s="74" t="n"/>
      <c r="P64" s="74" t="n"/>
    </row>
    <row r="65">
      <c r="F65" s="333" t="n"/>
      <c r="G65" s="333" t="n"/>
      <c r="H65" s="333" t="n"/>
      <c r="I65" s="74" t="n"/>
      <c r="J65" s="74" t="n"/>
      <c r="K65" s="200" t="n"/>
      <c r="L65" s="334" t="n"/>
    </row>
    <row r="66">
      <c r="F66" s="333" t="n"/>
      <c r="G66" s="333" t="n"/>
      <c r="H66" s="333" t="n"/>
      <c r="I66" s="333" t="n"/>
      <c r="J66" s="74" t="n"/>
      <c r="K66" s="201" t="n"/>
      <c r="L66" s="334" t="n"/>
    </row>
    <row r="67">
      <c r="F67" s="74" t="n"/>
      <c r="G67" s="74" t="n"/>
      <c r="H67" s="74" t="n"/>
      <c r="I67" s="334" t="n"/>
      <c r="J67" s="74" t="n"/>
      <c r="K67" s="74" t="n"/>
      <c r="L67" s="335" t="n"/>
    </row>
    <row r="68">
      <c r="F68" s="74" t="n"/>
      <c r="G68" s="74" t="n"/>
      <c r="H68" s="74" t="n"/>
      <c r="I68" s="74" t="n"/>
      <c r="J68" s="74" t="n"/>
      <c r="K68" s="74" t="n"/>
      <c r="L68" s="335" t="n"/>
    </row>
  </sheetData>
  <mergeCells count="1">
    <mergeCell ref="J54:M54"/>
  </mergeCells>
  <pageMargins left="0.7" right="0.7" top="0.75" bottom="0.75" header="0.3" footer="0.3"/>
  <pageSetup orientation="portrait" paperSize="9" horizontalDpi="30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tabColor rgb="FF86D6AC"/>
    <outlinePr summaryBelow="1" summaryRight="1"/>
    <pageSetUpPr/>
  </sheetPr>
  <dimension ref="B1:N23"/>
  <sheetViews>
    <sheetView showGridLines="0" workbookViewId="0">
      <selection activeCell="C3" sqref="C3"/>
    </sheetView>
  </sheetViews>
  <sheetFormatPr baseColWidth="8" defaultColWidth="8.7109375" defaultRowHeight="15.95"/>
  <cols>
    <col width="8.7109375" customWidth="1" style="7" min="1" max="1"/>
    <col width="1.42578125" customWidth="1" style="7" min="2" max="2"/>
    <col width="31" customWidth="1" style="7" min="3" max="3"/>
    <col width="8.7109375" customWidth="1" style="7" min="4" max="4"/>
    <col width="8.7109375" customWidth="1" style="7" min="5" max="13"/>
    <col width="1.28515625" customWidth="1" style="7" min="14" max="14"/>
    <col width="8.7109375" customWidth="1" style="7" min="15" max="16384"/>
  </cols>
  <sheetData>
    <row r="1" ht="17.1" customHeight="1" thickBot="1">
      <c r="B1" s="74" t="n"/>
      <c r="C1" s="74" t="n"/>
      <c r="D1" s="74" t="n"/>
      <c r="E1" s="74" t="n"/>
      <c r="F1" s="74" t="n"/>
      <c r="G1" s="74" t="n"/>
      <c r="H1" s="74" t="n"/>
      <c r="I1" s="74" t="n"/>
      <c r="J1" s="74" t="n"/>
      <c r="K1" s="74" t="n"/>
      <c r="L1" s="74" t="n"/>
      <c r="M1" s="74" t="n"/>
      <c r="N1" s="74" t="n"/>
    </row>
    <row r="2">
      <c r="B2" s="86" t="n"/>
      <c r="C2" s="87" t="n"/>
      <c r="D2" s="87" t="n"/>
      <c r="E2" s="87" t="n"/>
      <c r="F2" s="87" t="n"/>
      <c r="G2" s="87" t="n"/>
      <c r="H2" s="87" t="n"/>
      <c r="I2" s="87" t="n"/>
      <c r="J2" s="87" t="n"/>
      <c r="K2" s="87" t="n"/>
      <c r="L2" s="87" t="n"/>
      <c r="M2" s="87" t="n"/>
      <c r="N2" s="88" t="n"/>
    </row>
    <row r="3">
      <c r="B3" s="40" t="inlineStr">
        <is>
          <t>2. Project Working Capital Changes &amp; Capex:</t>
        </is>
      </c>
      <c r="C3" s="29" t="n"/>
      <c r="D3" s="29" t="n"/>
      <c r="E3" s="29" t="n"/>
      <c r="F3" s="29" t="n"/>
      <c r="G3" s="29" t="n"/>
      <c r="H3" s="29" t="n"/>
      <c r="I3" s="29" t="n"/>
      <c r="J3" s="29" t="n"/>
      <c r="K3" s="29" t="n"/>
      <c r="L3" s="29" t="n"/>
      <c r="M3" s="29" t="n"/>
      <c r="N3" s="91" t="n"/>
    </row>
    <row r="4">
      <c r="B4" s="89" t="n"/>
      <c r="C4" s="74" t="n"/>
      <c r="D4" s="74" t="n"/>
      <c r="E4" s="74" t="n"/>
      <c r="F4" s="74" t="n"/>
      <c r="G4" s="74" t="n"/>
      <c r="H4" s="74" t="n"/>
      <c r="I4" s="74" t="n"/>
      <c r="J4" s="74" t="n"/>
      <c r="K4" s="74" t="n"/>
      <c r="L4" s="74" t="n"/>
      <c r="M4" s="74" t="n"/>
      <c r="N4" s="91" t="n"/>
    </row>
    <row r="5">
      <c r="B5" s="89" t="n"/>
      <c r="C5" s="204" t="n"/>
      <c r="D5" s="25" t="inlineStr">
        <is>
          <t>Historical</t>
        </is>
      </c>
      <c r="E5" s="25" t="n"/>
      <c r="F5" s="25" t="n"/>
      <c r="G5" s="25" t="n"/>
      <c r="H5" s="26" t="n"/>
      <c r="I5" s="25" t="inlineStr">
        <is>
          <t>Projected</t>
        </is>
      </c>
      <c r="J5" s="25" t="n"/>
      <c r="K5" s="25" t="n"/>
      <c r="L5" s="25" t="n"/>
      <c r="M5" s="25" t="n"/>
      <c r="N5" s="91" t="n"/>
    </row>
    <row r="6">
      <c r="B6" s="89" t="n"/>
      <c r="C6" s="42" t="inlineStr">
        <is>
          <t>(in € million)</t>
        </is>
      </c>
      <c r="D6" s="30" t="n">
        <v>2019</v>
      </c>
      <c r="E6" s="30" t="n">
        <v>2020</v>
      </c>
      <c r="F6" s="30" t="n">
        <v>2021</v>
      </c>
      <c r="G6" s="30" t="n">
        <v>2022</v>
      </c>
      <c r="H6" s="27" t="n">
        <v>2023</v>
      </c>
      <c r="I6" s="30" t="n">
        <v>2024</v>
      </c>
      <c r="J6" s="30" t="n">
        <v>2025</v>
      </c>
      <c r="K6" s="30" t="n">
        <v>2026</v>
      </c>
      <c r="L6" s="30" t="n">
        <v>2027</v>
      </c>
      <c r="M6" s="30" t="n">
        <v>2028</v>
      </c>
      <c r="N6" s="91" t="n"/>
    </row>
    <row r="7">
      <c r="B7" s="89" t="n"/>
      <c r="C7" s="74" t="n"/>
      <c r="D7" s="13" t="n"/>
      <c r="E7" s="13" t="n"/>
      <c r="F7" s="13" t="n"/>
      <c r="G7" s="67" t="n"/>
      <c r="H7" s="13" t="n"/>
      <c r="I7" s="13" t="n"/>
      <c r="J7" s="13" t="n"/>
      <c r="K7" s="13" t="n"/>
      <c r="L7" s="13" t="n"/>
      <c r="M7" s="13" t="n"/>
      <c r="N7" s="91" t="n"/>
    </row>
    <row r="8">
      <c r="B8" s="89" t="n"/>
      <c r="C8" s="74" t="inlineStr">
        <is>
          <t>Inventory</t>
        </is>
      </c>
      <c r="D8" s="74" t="n">
        <v>70</v>
      </c>
      <c r="E8" s="74" t="n">
        <v>71</v>
      </c>
      <c r="F8" s="74" t="n">
        <v>72</v>
      </c>
      <c r="G8" s="74" t="n">
        <v>74</v>
      </c>
      <c r="H8" s="74" t="n">
        <v>76</v>
      </c>
      <c r="I8" s="76">
        <f>$I$19/365*'1. P&amp;L'!K16</f>
        <v/>
      </c>
      <c r="J8" s="76">
        <f>$I$19/365*'1. P&amp;L'!L16</f>
        <v/>
      </c>
      <c r="K8" s="76">
        <f>$I$19/365*'1. P&amp;L'!M16</f>
        <v/>
      </c>
      <c r="L8" s="76">
        <f>$I$19/365*'1. P&amp;L'!N16</f>
        <v/>
      </c>
      <c r="M8" s="76">
        <f>$I$19/365*'1. P&amp;L'!O16</f>
        <v/>
      </c>
      <c r="N8" s="91" t="n"/>
    </row>
    <row r="9">
      <c r="B9" s="89" t="n"/>
      <c r="C9" s="74" t="inlineStr">
        <is>
          <t>Accounts Receivable</t>
        </is>
      </c>
      <c r="D9" s="74" t="n">
        <v>45</v>
      </c>
      <c r="E9" s="74" t="n">
        <v>45</v>
      </c>
      <c r="F9" s="74" t="n">
        <v>46</v>
      </c>
      <c r="G9" s="74" t="n">
        <v>47</v>
      </c>
      <c r="H9" s="74" t="n">
        <v>47</v>
      </c>
      <c r="I9" s="76">
        <f>$I$20/365*'1. P&amp;L'!K13</f>
        <v/>
      </c>
      <c r="J9" s="76">
        <f>$I$20/365*'1. P&amp;L'!L13</f>
        <v/>
      </c>
      <c r="K9" s="76">
        <f>$I$20/365*'1. P&amp;L'!M13</f>
        <v/>
      </c>
      <c r="L9" s="76">
        <f>$I$20/365*'1. P&amp;L'!N13</f>
        <v/>
      </c>
      <c r="M9" s="76">
        <f>$I$20/365*'1. P&amp;L'!O13</f>
        <v/>
      </c>
      <c r="N9" s="91" t="n"/>
    </row>
    <row r="10">
      <c r="B10" s="89" t="n"/>
      <c r="C10" s="74" t="inlineStr">
        <is>
          <t>Accounts Payable</t>
        </is>
      </c>
      <c r="D10" s="74" t="n">
        <v>28</v>
      </c>
      <c r="E10" s="74" t="n">
        <v>28</v>
      </c>
      <c r="F10" s="74" t="n">
        <v>29</v>
      </c>
      <c r="G10" s="74" t="n">
        <v>29</v>
      </c>
      <c r="H10" s="74" t="n">
        <v>29</v>
      </c>
      <c r="I10" s="76">
        <f>$I$21/365*'1. P&amp;L'!K16</f>
        <v/>
      </c>
      <c r="J10" s="76">
        <f>$I$21/365*'1. P&amp;L'!L16</f>
        <v/>
      </c>
      <c r="K10" s="76">
        <f>$I$21/365*'1. P&amp;L'!M16</f>
        <v/>
      </c>
      <c r="L10" s="76">
        <f>$I$21/365*'1. P&amp;L'!N16</f>
        <v/>
      </c>
      <c r="M10" s="76">
        <f>$I$21/365*'1. P&amp;L'!O16</f>
        <v/>
      </c>
      <c r="N10" s="91" t="n"/>
    </row>
    <row r="11">
      <c r="B11" s="89" t="n"/>
      <c r="C11" s="74" t="n"/>
      <c r="D11" s="74" t="n"/>
      <c r="E11" s="74" t="n"/>
      <c r="F11" s="74" t="n"/>
      <c r="G11" s="74" t="n"/>
      <c r="H11" s="74" t="n"/>
      <c r="I11" s="74" t="n"/>
      <c r="J11" s="74" t="n"/>
      <c r="K11" s="74" t="n"/>
      <c r="L11" s="74" t="n"/>
      <c r="M11" s="74" t="n"/>
      <c r="N11" s="91" t="n"/>
    </row>
    <row r="12">
      <c r="B12" s="89" t="n"/>
      <c r="C12" s="74" t="inlineStr">
        <is>
          <t>Working Capital</t>
        </is>
      </c>
      <c r="D12" s="74">
        <f>D8+D9-D10</f>
        <v/>
      </c>
      <c r="E12" s="74">
        <f>E8+E9-E10</f>
        <v/>
      </c>
      <c r="F12" s="74">
        <f>F8+F9-F10</f>
        <v/>
      </c>
      <c r="G12" s="74">
        <f>G8+G9-G10</f>
        <v/>
      </c>
      <c r="H12" s="137">
        <f>H8+H9-H10</f>
        <v/>
      </c>
      <c r="I12" s="221">
        <f>I8+I9-I10</f>
        <v/>
      </c>
      <c r="J12" s="221">
        <f>J8+J9-J10</f>
        <v/>
      </c>
      <c r="K12" s="221">
        <f>K8+K9-K10</f>
        <v/>
      </c>
      <c r="L12" s="221">
        <f>L8+L9-L10</f>
        <v/>
      </c>
      <c r="M12" s="221">
        <f>M8+M9-M10</f>
        <v/>
      </c>
      <c r="N12" s="91" t="n"/>
    </row>
    <row r="13">
      <c r="B13" s="89" t="n"/>
      <c r="C13" s="57" t="inlineStr">
        <is>
          <t>Change in Working Capital</t>
        </is>
      </c>
      <c r="D13" s="57" t="n">
        <v>3</v>
      </c>
      <c r="E13" s="57">
        <f>-E12+D12</f>
        <v/>
      </c>
      <c r="F13" s="57">
        <f>-F12+E12</f>
        <v/>
      </c>
      <c r="G13" s="57">
        <f>-G12+F12</f>
        <v/>
      </c>
      <c r="H13" s="57">
        <f>-H12+G12</f>
        <v/>
      </c>
      <c r="I13" s="58">
        <f>-I12+H12</f>
        <v/>
      </c>
      <c r="J13" s="58">
        <f>-J12+I12</f>
        <v/>
      </c>
      <c r="K13" s="58">
        <f>-K12+J12</f>
        <v/>
      </c>
      <c r="L13" s="58">
        <f>-L12+K12</f>
        <v/>
      </c>
      <c r="M13" s="58">
        <f>-M12+L12</f>
        <v/>
      </c>
      <c r="N13" s="91" t="n"/>
    </row>
    <row r="14">
      <c r="B14" s="89" t="n"/>
      <c r="C14" s="209" t="n"/>
      <c r="D14" s="209" t="n"/>
      <c r="E14" s="209" t="n"/>
      <c r="F14" s="209" t="n"/>
      <c r="G14" s="209" t="n"/>
      <c r="H14" s="209" t="n"/>
      <c r="I14" s="209" t="n"/>
      <c r="J14" s="209" t="n"/>
      <c r="K14" s="209" t="n"/>
      <c r="L14" s="209" t="n"/>
      <c r="M14" s="209" t="n"/>
      <c r="N14" s="91" t="n"/>
    </row>
    <row r="15">
      <c r="B15" s="89" t="n"/>
      <c r="C15" s="137" t="inlineStr">
        <is>
          <t>Capex</t>
        </is>
      </c>
      <c r="D15" s="137" t="n">
        <v>-15</v>
      </c>
      <c r="E15" s="137" t="n">
        <v>-17</v>
      </c>
      <c r="F15" s="137" t="n">
        <v>-18</v>
      </c>
      <c r="G15" s="137" t="n">
        <v>-36</v>
      </c>
      <c r="H15" s="137" t="n">
        <v>-36</v>
      </c>
      <c r="I15" s="77">
        <f>-$H$23*'1. P&amp;L'!K16</f>
        <v/>
      </c>
      <c r="J15" s="77">
        <f>-$H$23*'1. P&amp;L'!L16</f>
        <v/>
      </c>
      <c r="K15" s="77">
        <f>-$H$23*'1. P&amp;L'!M16</f>
        <v/>
      </c>
      <c r="L15" s="77">
        <f>-$H$23*'1. P&amp;L'!N16</f>
        <v/>
      </c>
      <c r="M15" s="77">
        <f>-$H$23*'1. P&amp;L'!O16</f>
        <v/>
      </c>
      <c r="N15" s="91" t="n"/>
    </row>
    <row r="16" ht="17.1" customHeight="1" thickBot="1">
      <c r="B16" s="147" t="n"/>
      <c r="C16" s="152" t="n"/>
      <c r="D16" s="152" t="n"/>
      <c r="E16" s="152" t="n"/>
      <c r="F16" s="152" t="n"/>
      <c r="G16" s="152" t="n"/>
      <c r="H16" s="152" t="n"/>
      <c r="I16" s="152" t="n"/>
      <c r="J16" s="152" t="n"/>
      <c r="K16" s="152" t="n"/>
      <c r="L16" s="152" t="n"/>
      <c r="M16" s="152" t="n"/>
      <c r="N16" s="150" t="n"/>
    </row>
    <row r="17">
      <c r="C17" s="74" t="n"/>
      <c r="D17" s="75" t="n"/>
      <c r="E17" s="75" t="n"/>
      <c r="F17" s="75" t="n"/>
      <c r="G17" s="75" t="n"/>
      <c r="H17" s="75" t="n"/>
      <c r="I17" s="74" t="n"/>
      <c r="J17" s="74" t="n"/>
      <c r="K17" s="74" t="n"/>
      <c r="L17" s="74" t="n"/>
      <c r="M17" s="74" t="n"/>
    </row>
    <row r="18">
      <c r="C18" s="74" t="n"/>
      <c r="D18" s="75" t="n"/>
      <c r="E18" s="75" t="n"/>
      <c r="F18" s="75" t="n"/>
      <c r="G18" s="75" t="n"/>
      <c r="H18" s="75" t="n"/>
      <c r="I18" s="75" t="inlineStr">
        <is>
          <t>Average</t>
        </is>
      </c>
      <c r="J18" s="75" t="n"/>
      <c r="K18" s="75" t="n"/>
      <c r="L18" s="75" t="n"/>
      <c r="M18" s="75" t="n"/>
    </row>
    <row r="19">
      <c r="C19" s="74" t="inlineStr">
        <is>
          <t>Days Inventory</t>
        </is>
      </c>
      <c r="D19" s="235">
        <f>D8/'1. P&amp;L'!F16*365</f>
        <v/>
      </c>
      <c r="E19" s="235">
        <f>E8/'1. P&amp;L'!G16*365</f>
        <v/>
      </c>
      <c r="F19" s="235">
        <f>F8/'1. P&amp;L'!H16*365</f>
        <v/>
      </c>
      <c r="G19" s="235">
        <f>G8/'1. P&amp;L'!I16*365</f>
        <v/>
      </c>
      <c r="H19" s="235">
        <f>H8/'1. P&amp;L'!J16*365</f>
        <v/>
      </c>
      <c r="I19" s="236">
        <f>AVERAGE(D19:H19)</f>
        <v/>
      </c>
      <c r="J19" s="74" t="n"/>
      <c r="K19" s="74" t="n"/>
      <c r="L19" s="74" t="n"/>
      <c r="M19" s="74" t="n"/>
    </row>
    <row r="20">
      <c r="C20" s="74" t="inlineStr">
        <is>
          <t>AR Days</t>
        </is>
      </c>
      <c r="D20" s="235">
        <f>D9/'1. P&amp;L'!F13*365</f>
        <v/>
      </c>
      <c r="E20" s="235">
        <f>E9/'1. P&amp;L'!G13*365</f>
        <v/>
      </c>
      <c r="F20" s="235">
        <f>F9/'1. P&amp;L'!H13*365</f>
        <v/>
      </c>
      <c r="G20" s="235">
        <f>G9/'1. P&amp;L'!I13*365</f>
        <v/>
      </c>
      <c r="H20" s="235">
        <f>H9/'1. P&amp;L'!J13*365</f>
        <v/>
      </c>
      <c r="I20" s="236">
        <f>AVERAGE(D20:H20)</f>
        <v/>
      </c>
      <c r="J20" s="74" t="n"/>
      <c r="K20" s="74" t="n"/>
      <c r="L20" s="74" t="n"/>
      <c r="M20" s="74" t="n"/>
    </row>
    <row r="21">
      <c r="C21" s="74" t="inlineStr">
        <is>
          <t>AP Days</t>
        </is>
      </c>
      <c r="D21" s="235">
        <f>D10/'1. P&amp;L'!F16*365</f>
        <v/>
      </c>
      <c r="E21" s="235">
        <f>E10/'1. P&amp;L'!G16*365</f>
        <v/>
      </c>
      <c r="F21" s="235">
        <f>F10/'1. P&amp;L'!H16*365</f>
        <v/>
      </c>
      <c r="G21" s="235">
        <f>G10/'1. P&amp;L'!I16*365</f>
        <v/>
      </c>
      <c r="H21" s="235">
        <f>H10/'1. P&amp;L'!J16*365</f>
        <v/>
      </c>
      <c r="I21" s="236">
        <f>AVERAGE(D21:H21)</f>
        <v/>
      </c>
      <c r="J21" s="74" t="n"/>
      <c r="K21" s="74" t="n"/>
      <c r="L21" s="74" t="n"/>
      <c r="M21" s="74" t="n"/>
    </row>
    <row r="23">
      <c r="C23" s="74" t="inlineStr">
        <is>
          <t>Capex %COGS</t>
        </is>
      </c>
      <c r="D23" s="237">
        <f>-D15/'1. P&amp;L'!F16</f>
        <v/>
      </c>
      <c r="E23" s="237">
        <f>-E15/'1. P&amp;L'!G16</f>
        <v/>
      </c>
      <c r="F23" s="237">
        <f>-F15/'1. P&amp;L'!H16</f>
        <v/>
      </c>
      <c r="G23" s="237">
        <f>-G15/'1. P&amp;L'!I16</f>
        <v/>
      </c>
      <c r="H23" s="237">
        <f>-H15/'1. P&amp;L'!J16</f>
        <v/>
      </c>
      <c r="I23" s="237" t="n"/>
      <c r="J23" s="74" t="n"/>
      <c r="K23" s="74" t="n"/>
      <c r="L23" s="74" t="n"/>
      <c r="M23" s="74" t="n"/>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91EBCB"/>
    <outlinePr summaryBelow="1" summaryRight="1"/>
    <pageSetUpPr/>
  </sheetPr>
  <dimension ref="B1:J14"/>
  <sheetViews>
    <sheetView showGridLines="0" topLeftCell="H1" workbookViewId="0">
      <selection activeCell="T15" sqref="T15"/>
    </sheetView>
  </sheetViews>
  <sheetFormatPr baseColWidth="8" defaultColWidth="8.7109375" defaultRowHeight="15.95"/>
  <cols>
    <col width="8.7109375" customWidth="1" style="7" min="1" max="1"/>
    <col width="1.28515625" customWidth="1" style="7" min="2" max="2"/>
    <col width="32.140625" customWidth="1" style="7" min="3" max="3"/>
    <col width="8.7109375" customWidth="1" style="7" min="4" max="5"/>
    <col width="9.85546875" customWidth="1" style="7" min="6" max="6"/>
    <col width="8.7109375" customWidth="1" style="7" min="7" max="9"/>
    <col width="1.42578125" customWidth="1" style="7" min="10" max="10"/>
    <col width="8.7109375" customWidth="1" style="7" min="11" max="16384"/>
  </cols>
  <sheetData>
    <row r="1" ht="17.1" customHeight="1" thickBot="1">
      <c r="B1" s="74" t="n"/>
      <c r="C1" s="74" t="n"/>
      <c r="D1" s="74" t="n"/>
      <c r="E1" s="74" t="n"/>
      <c r="F1" s="74" t="n"/>
      <c r="G1" s="74" t="n"/>
      <c r="H1" s="74" t="n"/>
      <c r="I1" s="74" t="n"/>
      <c r="J1" s="74" t="n"/>
    </row>
    <row r="2">
      <c r="B2" s="86" t="n"/>
      <c r="C2" s="87" t="n"/>
      <c r="D2" s="87" t="n"/>
      <c r="E2" s="87" t="n"/>
      <c r="F2" s="87" t="n"/>
      <c r="G2" s="87" t="n"/>
      <c r="H2" s="87" t="n"/>
      <c r="I2" s="87" t="n"/>
      <c r="J2" s="88" t="n"/>
    </row>
    <row r="3">
      <c r="B3" s="40" t="inlineStr">
        <is>
          <t>3. Calculate Free Cash Flow:</t>
        </is>
      </c>
      <c r="C3" s="29" t="n"/>
      <c r="D3" s="29" t="n"/>
      <c r="E3" s="29" t="n"/>
      <c r="F3" s="29" t="n"/>
      <c r="G3" s="29" t="n"/>
      <c r="H3" s="29" t="n"/>
      <c r="I3" s="29" t="n"/>
      <c r="J3" s="91" t="n"/>
    </row>
    <row r="4">
      <c r="B4" s="89" t="n"/>
      <c r="C4" s="74" t="n"/>
      <c r="D4" s="74" t="n"/>
      <c r="E4" s="74" t="n"/>
      <c r="F4" s="74" t="n"/>
      <c r="G4" s="74" t="n"/>
      <c r="H4" s="74" t="n"/>
      <c r="I4" s="74" t="n"/>
      <c r="J4" s="91" t="n"/>
    </row>
    <row r="5">
      <c r="B5" s="89" t="n"/>
      <c r="C5" s="42" t="n"/>
      <c r="D5" s="26" t="inlineStr">
        <is>
          <t>Actual</t>
        </is>
      </c>
      <c r="E5" s="25" t="inlineStr">
        <is>
          <t>Projected</t>
        </is>
      </c>
      <c r="F5" s="25" t="n"/>
      <c r="G5" s="25" t="n"/>
      <c r="H5" s="25" t="n"/>
      <c r="I5" s="25" t="n"/>
      <c r="J5" s="91" t="n"/>
    </row>
    <row r="6">
      <c r="B6" s="89" t="n"/>
      <c r="C6" s="42" t="inlineStr">
        <is>
          <t>(in € million)</t>
        </is>
      </c>
      <c r="D6" s="27" t="n">
        <v>2023</v>
      </c>
      <c r="E6" s="30" t="n">
        <v>2024</v>
      </c>
      <c r="F6" s="30" t="n">
        <v>2025</v>
      </c>
      <c r="G6" s="30" t="n">
        <v>2026</v>
      </c>
      <c r="H6" s="30" t="n">
        <v>2027</v>
      </c>
      <c r="I6" s="30" t="n">
        <v>2027</v>
      </c>
      <c r="J6" s="91" t="n"/>
    </row>
    <row r="7">
      <c r="B7" s="89" t="n"/>
      <c r="C7" s="74" t="n"/>
      <c r="D7" s="222" t="n"/>
      <c r="E7" s="74" t="n"/>
      <c r="F7" s="74" t="n"/>
      <c r="G7" s="74" t="n"/>
      <c r="H7" s="74" t="n"/>
      <c r="I7" s="74" t="n"/>
      <c r="J7" s="91" t="n"/>
    </row>
    <row r="8">
      <c r="B8" s="89" t="n"/>
      <c r="C8" s="74" t="inlineStr">
        <is>
          <t>(+) EBITDA</t>
        </is>
      </c>
      <c r="D8" s="223" t="n"/>
      <c r="E8" s="71">
        <f>'1. P&amp;L'!K31</f>
        <v/>
      </c>
      <c r="F8" s="71">
        <f>'1. P&amp;L'!L31</f>
        <v/>
      </c>
      <c r="G8" s="71">
        <f>'1. P&amp;L'!M31</f>
        <v/>
      </c>
      <c r="H8" s="71">
        <f>'1. P&amp;L'!N31</f>
        <v/>
      </c>
      <c r="I8" s="71">
        <f>'1. P&amp;L'!O31</f>
        <v/>
      </c>
      <c r="J8" s="91" t="n"/>
    </row>
    <row r="9">
      <c r="B9" s="89" t="n"/>
      <c r="C9" s="74" t="inlineStr">
        <is>
          <t>(-) Interest Expense</t>
        </is>
      </c>
      <c r="D9" s="223" t="n"/>
      <c r="E9" s="71">
        <f>-'1. P&amp;L'!K39</f>
        <v/>
      </c>
      <c r="F9" s="71">
        <f>-'1. P&amp;L'!L39</f>
        <v/>
      </c>
      <c r="G9" s="71">
        <f>-'1. P&amp;L'!M39</f>
        <v/>
      </c>
      <c r="H9" s="71">
        <f>-'1. P&amp;L'!N39</f>
        <v/>
      </c>
      <c r="I9" s="71">
        <f>-'1. P&amp;L'!O39</f>
        <v/>
      </c>
      <c r="J9" s="91" t="n"/>
    </row>
    <row r="10">
      <c r="B10" s="89" t="n"/>
      <c r="C10" s="74" t="inlineStr">
        <is>
          <t>(-) Taxes</t>
        </is>
      </c>
      <c r="D10" s="222" t="n"/>
      <c r="E10" s="71">
        <f>-'1. P&amp;L'!K44</f>
        <v/>
      </c>
      <c r="F10" s="71">
        <f>-'1. P&amp;L'!L44</f>
        <v/>
      </c>
      <c r="G10" s="71">
        <f>-'1. P&amp;L'!M44</f>
        <v/>
      </c>
      <c r="H10" s="71">
        <f>-'1. P&amp;L'!N44</f>
        <v/>
      </c>
      <c r="I10" s="71">
        <f>-'1. P&amp;L'!O44</f>
        <v/>
      </c>
      <c r="J10" s="91" t="n"/>
    </row>
    <row r="11">
      <c r="B11" s="89" t="n"/>
      <c r="C11" s="74" t="inlineStr">
        <is>
          <t>(-/+) Change in Working Capital</t>
        </is>
      </c>
      <c r="D11" s="222" t="n"/>
      <c r="E11" s="71">
        <f>'2. Working Capital &amp; Capex'!I13</f>
        <v/>
      </c>
      <c r="F11" s="71">
        <f>'2. Working Capital &amp; Capex'!J13</f>
        <v/>
      </c>
      <c r="G11" s="71">
        <f>'2. Working Capital &amp; Capex'!K13</f>
        <v/>
      </c>
      <c r="H11" s="71">
        <f>'2. Working Capital &amp; Capex'!L13</f>
        <v/>
      </c>
      <c r="I11" s="71">
        <f>'2. Working Capital &amp; Capex'!M13</f>
        <v/>
      </c>
      <c r="J11" s="238" t="n"/>
    </row>
    <row r="12">
      <c r="B12" s="89" t="n"/>
      <c r="C12" s="137" t="inlineStr">
        <is>
          <t>(-) Capex</t>
        </is>
      </c>
      <c r="D12" s="224" t="n"/>
      <c r="E12" s="78">
        <f>'2. Working Capital &amp; Capex'!I15</f>
        <v/>
      </c>
      <c r="F12" s="79">
        <f>'2. Working Capital &amp; Capex'!J15</f>
        <v/>
      </c>
      <c r="G12" s="79">
        <f>'2. Working Capital &amp; Capex'!K15</f>
        <v/>
      </c>
      <c r="H12" s="79">
        <f>'2. Working Capital &amp; Capex'!L15</f>
        <v/>
      </c>
      <c r="I12" s="79">
        <f>'2. Working Capital &amp; Capex'!M15</f>
        <v/>
      </c>
      <c r="J12" s="238" t="n"/>
    </row>
    <row r="13" ht="17.1" customHeight="1" thickBot="1">
      <c r="B13" s="147" t="n"/>
      <c r="C13" s="8" t="inlineStr">
        <is>
          <t>Free Cash Flow to Equity (FCFE)</t>
        </is>
      </c>
      <c r="D13" s="15" t="n"/>
      <c r="E13" s="41">
        <f>SUM(E8:E12)</f>
        <v/>
      </c>
      <c r="F13" s="41">
        <f>SUM(F8:F12)</f>
        <v/>
      </c>
      <c r="G13" s="41">
        <f>SUM(G8:G12)</f>
        <v/>
      </c>
      <c r="H13" s="41">
        <f>SUM(H8:H12)</f>
        <v/>
      </c>
      <c r="I13" s="41">
        <f>SUM(I8:I12)</f>
        <v/>
      </c>
      <c r="J13" s="91" t="n"/>
    </row>
    <row r="14" ht="17.1" customHeight="1" thickBot="1">
      <c r="B14" s="147" t="n"/>
      <c r="C14" s="152" t="n"/>
      <c r="D14" s="225" t="n"/>
      <c r="E14" s="225" t="n"/>
      <c r="F14" s="225" t="n"/>
      <c r="G14" s="225" t="n"/>
      <c r="H14" s="152" t="n"/>
      <c r="I14" s="152" t="n"/>
      <c r="J14" s="150"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C8F7ED"/>
    <outlinePr summaryBelow="1" summaryRight="1"/>
    <pageSetUpPr/>
  </sheetPr>
  <dimension ref="B1:Q27"/>
  <sheetViews>
    <sheetView showGridLines="0" zoomScale="136" workbookViewId="0">
      <selection activeCell="F19" sqref="F19"/>
    </sheetView>
  </sheetViews>
  <sheetFormatPr baseColWidth="8" defaultColWidth="8.7109375" defaultRowHeight="15.95"/>
  <cols>
    <col width="8.7109375" customWidth="1" style="7" min="1" max="1"/>
    <col width="1.85546875" customWidth="1" style="7" min="2" max="2"/>
    <col width="36.140625" bestFit="1" customWidth="1" style="7" min="3" max="3"/>
    <col width="10.140625" bestFit="1" customWidth="1" style="7" min="4" max="4"/>
    <col width="9.42578125" bestFit="1" customWidth="1" style="7" min="5" max="5"/>
    <col width="8.7109375" customWidth="1" style="7" min="6" max="9"/>
    <col width="1.140625" customWidth="1" style="7" min="10" max="10"/>
    <col width="8.140625" customWidth="1" style="7" min="11" max="11"/>
    <col width="1" customWidth="1" style="7" min="12" max="12"/>
    <col width="10" bestFit="1" customWidth="1" style="7" min="13" max="13"/>
    <col width="8.7109375" customWidth="1" style="7" min="14" max="16384"/>
  </cols>
  <sheetData>
    <row r="1" ht="17.1" customHeight="1" thickBot="1">
      <c r="B1" s="74" t="n"/>
      <c r="C1" s="74" t="n"/>
      <c r="D1" s="74" t="n"/>
      <c r="E1" s="74" t="n"/>
      <c r="F1" s="74" t="n"/>
      <c r="G1" s="74" t="n"/>
      <c r="H1" s="74" t="n"/>
      <c r="I1" s="74" t="n"/>
      <c r="J1" s="74" t="n"/>
      <c r="K1" s="74" t="n"/>
      <c r="L1" s="74" t="n"/>
      <c r="M1" s="74" t="n"/>
      <c r="N1" s="74" t="n"/>
      <c r="O1" s="74" t="n"/>
      <c r="P1" s="74" t="n"/>
      <c r="Q1" s="74" t="n"/>
    </row>
    <row r="2">
      <c r="B2" s="86" t="n"/>
      <c r="C2" s="87" t="n"/>
      <c r="D2" s="87" t="n"/>
      <c r="E2" s="87" t="n"/>
      <c r="F2" s="87" t="n"/>
      <c r="G2" s="87" t="n"/>
      <c r="H2" s="87" t="n"/>
      <c r="I2" s="87" t="n"/>
      <c r="J2" s="88" t="n"/>
      <c r="K2" s="74" t="n"/>
      <c r="L2" s="74" t="n"/>
      <c r="M2" s="74" t="n"/>
      <c r="N2" s="74" t="n"/>
      <c r="O2" s="74" t="n"/>
      <c r="P2" s="74" t="n"/>
      <c r="Q2" s="74" t="n"/>
    </row>
    <row r="3" ht="15.75" customHeight="1">
      <c r="B3" s="40" t="inlineStr">
        <is>
          <t>4. Discounted Cash Flow Valuation (DCF):</t>
        </is>
      </c>
      <c r="C3" s="29" t="n"/>
      <c r="D3" s="29" t="n"/>
      <c r="E3" s="29" t="n"/>
      <c r="F3" s="29" t="n"/>
      <c r="G3" s="29" t="n"/>
      <c r="H3" s="29" t="n"/>
      <c r="I3" s="29" t="n"/>
      <c r="J3" s="23" t="n"/>
      <c r="K3" s="10" t="n"/>
      <c r="L3" s="10" t="n"/>
      <c r="M3" s="10" t="n"/>
      <c r="N3" s="10" t="n"/>
      <c r="O3" s="10" t="n"/>
      <c r="P3" s="10" t="n"/>
      <c r="Q3" s="10" t="n"/>
    </row>
    <row r="4">
      <c r="B4" s="89" t="n"/>
      <c r="C4" s="74" t="n"/>
      <c r="D4" s="74" t="n"/>
      <c r="E4" s="74" t="n"/>
      <c r="F4" s="74" t="n"/>
      <c r="G4" s="74" t="n"/>
      <c r="H4" s="74" t="n"/>
      <c r="I4" s="74" t="n"/>
      <c r="J4" s="91" t="n"/>
      <c r="K4" s="74" t="n"/>
      <c r="L4" s="74" t="n"/>
      <c r="M4" s="74" t="n"/>
      <c r="N4" s="74" t="n"/>
      <c r="O4" s="74" t="n"/>
      <c r="P4" s="74" t="n"/>
      <c r="Q4" s="74" t="n"/>
    </row>
    <row r="5">
      <c r="B5" s="89" t="n"/>
      <c r="C5" s="42" t="n"/>
      <c r="D5" s="35" t="inlineStr">
        <is>
          <t>Actual</t>
        </is>
      </c>
      <c r="E5" s="25" t="inlineStr">
        <is>
          <t>Projected</t>
        </is>
      </c>
      <c r="F5" s="31" t="n"/>
      <c r="G5" s="31" t="n"/>
      <c r="H5" s="31" t="n"/>
      <c r="I5" s="31" t="n"/>
      <c r="J5" s="91" t="n"/>
      <c r="K5" s="74" t="n"/>
      <c r="L5" s="74" t="n"/>
      <c r="M5" s="74" t="n"/>
      <c r="N5" s="74" t="n"/>
      <c r="O5" s="74" t="n"/>
      <c r="P5" s="74" t="n"/>
      <c r="Q5" s="74" t="n"/>
    </row>
    <row r="6">
      <c r="B6" s="89" t="n"/>
      <c r="C6" s="42" t="inlineStr">
        <is>
          <t>(in € million)</t>
        </is>
      </c>
      <c r="D6" s="27" t="n">
        <v>2023</v>
      </c>
      <c r="E6" s="30" t="n">
        <v>2024</v>
      </c>
      <c r="F6" s="30" t="n">
        <v>2025</v>
      </c>
      <c r="G6" s="30" t="n">
        <v>2026</v>
      </c>
      <c r="H6" s="30" t="n">
        <v>2027</v>
      </c>
      <c r="I6" s="30" t="n">
        <v>2027</v>
      </c>
      <c r="J6" s="91" t="n"/>
      <c r="K6" s="74" t="n"/>
      <c r="L6" s="74" t="n"/>
      <c r="M6" s="74" t="n"/>
      <c r="N6" s="74" t="n"/>
      <c r="O6" s="74" t="n"/>
      <c r="P6" s="74" t="n"/>
      <c r="Q6" s="74" t="n"/>
    </row>
    <row r="7">
      <c r="B7" s="89" t="n"/>
      <c r="C7" s="74" t="n"/>
      <c r="D7" s="74" t="n"/>
      <c r="E7" s="74" t="n"/>
      <c r="F7" s="74" t="n"/>
      <c r="G7" s="74" t="n"/>
      <c r="H7" s="74" t="n"/>
      <c r="I7" s="74" t="n"/>
      <c r="J7" s="91" t="n"/>
      <c r="K7" s="74" t="n"/>
      <c r="L7" s="74" t="n"/>
      <c r="M7" s="74" t="n"/>
      <c r="N7" s="74" t="n"/>
      <c r="O7" s="74" t="n"/>
      <c r="P7" s="74" t="n"/>
      <c r="Q7" s="74" t="n"/>
    </row>
    <row r="8">
      <c r="B8" s="89" t="n"/>
      <c r="C8" s="74" t="inlineStr">
        <is>
          <t>FCFE</t>
        </is>
      </c>
      <c r="D8" s="74" t="n"/>
      <c r="E8" s="226">
        <f>'3. FCFF &amp; FCFE'!E13</f>
        <v/>
      </c>
      <c r="F8" s="226">
        <f>'3. FCFF &amp; FCFE'!F13</f>
        <v/>
      </c>
      <c r="G8" s="226">
        <f>'3. FCFF &amp; FCFE'!G13</f>
        <v/>
      </c>
      <c r="H8" s="226">
        <f>'3. FCFF &amp; FCFE'!H13</f>
        <v/>
      </c>
      <c r="I8" s="226">
        <f>'3. FCFF &amp; FCFE'!I13</f>
        <v/>
      </c>
      <c r="J8" s="91" t="n"/>
      <c r="K8" s="74" t="n"/>
      <c r="L8" s="74" t="n"/>
      <c r="M8" s="74" t="n"/>
      <c r="N8" s="74" t="n"/>
      <c r="O8" s="74" t="n"/>
      <c r="P8" s="74" t="n"/>
      <c r="Q8" s="74" t="n"/>
    </row>
    <row r="9">
      <c r="B9" s="89" t="n"/>
      <c r="C9" s="74" t="n"/>
      <c r="D9" s="74" t="n"/>
      <c r="E9" s="227" t="n"/>
      <c r="F9" s="227" t="n"/>
      <c r="G9" s="227" t="n"/>
      <c r="H9" s="227" t="n"/>
      <c r="I9" s="227" t="n"/>
      <c r="J9" s="91" t="n"/>
      <c r="K9" s="74" t="n"/>
      <c r="L9" s="74" t="n"/>
      <c r="M9" s="74" t="n"/>
      <c r="N9" s="74" t="n"/>
      <c r="O9" s="74" t="n"/>
      <c r="P9" s="74" t="n"/>
      <c r="Q9" s="74" t="n"/>
    </row>
    <row r="10">
      <c r="B10" s="89" t="n"/>
      <c r="C10" s="74" t="inlineStr">
        <is>
          <t>PV of FCFE</t>
        </is>
      </c>
      <c r="D10" s="74" t="n"/>
      <c r="E10" s="226">
        <f>E8/(1+$D$16)^1</f>
        <v/>
      </c>
      <c r="F10" s="226">
        <f>F8/(1+$D$16)^2</f>
        <v/>
      </c>
      <c r="G10" s="226">
        <f>G8/(1+$D$16)^3</f>
        <v/>
      </c>
      <c r="H10" s="226">
        <f>H8/(1+$D$16)^4</f>
        <v/>
      </c>
      <c r="I10" s="226">
        <f>I8/(1+$D$16)^5</f>
        <v/>
      </c>
      <c r="J10" s="91" t="n"/>
      <c r="K10" s="74" t="n"/>
      <c r="L10" s="74" t="n"/>
      <c r="M10" s="74" t="n"/>
      <c r="N10" s="74" t="n"/>
      <c r="O10" s="74" t="n"/>
      <c r="P10" s="74" t="n"/>
      <c r="Q10" s="74" t="n"/>
    </row>
    <row r="11">
      <c r="B11" s="89" t="n"/>
      <c r="C11" s="74" t="n"/>
      <c r="D11" s="74" t="n"/>
      <c r="E11" s="228" t="n"/>
      <c r="F11" s="228" t="n"/>
      <c r="G11" s="228" t="n"/>
      <c r="H11" s="228" t="n"/>
      <c r="I11" s="228" t="n"/>
      <c r="J11" s="91" t="n"/>
      <c r="K11" s="74" t="n"/>
      <c r="L11" s="74" t="n"/>
      <c r="M11" s="74" t="n"/>
      <c r="N11" s="74" t="n"/>
      <c r="O11" s="74" t="n"/>
      <c r="P11" s="74" t="n"/>
      <c r="Q11" s="74" t="n"/>
    </row>
    <row r="12">
      <c r="B12" s="89" t="n"/>
      <c r="C12" s="74" t="inlineStr">
        <is>
          <t>Terminal Value</t>
        </is>
      </c>
      <c r="D12" s="74" t="n"/>
      <c r="E12" s="229" t="n"/>
      <c r="F12" s="229" t="n"/>
      <c r="G12" s="229" t="n"/>
      <c r="H12" s="230" t="inlineStr">
        <is>
          <t>=</t>
        </is>
      </c>
      <c r="I12" s="336">
        <f>I8*(1+D18)/(D16-D18)</f>
        <v/>
      </c>
      <c r="J12" s="91" t="n"/>
      <c r="K12" s="74" t="n"/>
      <c r="L12" s="74" t="n"/>
      <c r="M12" s="74" t="n"/>
      <c r="N12" s="74" t="n"/>
      <c r="O12" s="74" t="n"/>
      <c r="P12" s="74" t="n"/>
      <c r="Q12" s="74" t="n"/>
    </row>
    <row r="13">
      <c r="B13" s="89" t="n"/>
      <c r="C13" s="74" t="n"/>
      <c r="D13" s="74" t="n"/>
      <c r="E13" s="229" t="n"/>
      <c r="F13" s="229" t="n"/>
      <c r="G13" s="229" t="n"/>
      <c r="H13" s="232" t="n"/>
      <c r="I13" s="333" t="n"/>
      <c r="J13" s="91" t="n"/>
      <c r="K13" s="74" t="n"/>
      <c r="L13" s="74" t="n"/>
      <c r="M13" s="74" t="n"/>
      <c r="N13" s="74" t="n"/>
      <c r="O13" s="74" t="n"/>
      <c r="P13" s="74" t="n"/>
      <c r="Q13" s="74" t="n"/>
    </row>
    <row r="14">
      <c r="B14" s="89" t="n"/>
      <c r="C14" s="74" t="inlineStr">
        <is>
          <t>PV of Terminal Value</t>
        </is>
      </c>
      <c r="D14" s="74" t="n"/>
      <c r="E14" s="229" t="n"/>
      <c r="F14" s="229" t="n"/>
      <c r="G14" s="229" t="n"/>
      <c r="H14" s="230" t="inlineStr">
        <is>
          <t>=</t>
        </is>
      </c>
      <c r="I14" s="336">
        <f>I12/(1+D16)^5</f>
        <v/>
      </c>
      <c r="J14" s="91" t="n"/>
      <c r="K14" s="74" t="n"/>
      <c r="L14" s="74" t="n"/>
      <c r="M14" s="74" t="n"/>
      <c r="N14" s="74" t="n"/>
      <c r="O14" s="74" t="n"/>
      <c r="P14" s="74" t="n"/>
      <c r="Q14" s="74" t="n"/>
    </row>
    <row r="15">
      <c r="B15" s="89" t="n"/>
      <c r="C15" s="74" t="n"/>
      <c r="D15" s="74" t="n"/>
      <c r="E15" s="228" t="n"/>
      <c r="F15" s="228" t="n"/>
      <c r="G15" s="228" t="n"/>
      <c r="H15" s="228" t="n"/>
      <c r="I15" s="228" t="n"/>
      <c r="J15" s="91" t="n"/>
      <c r="K15" s="74" t="n"/>
      <c r="L15" s="74" t="n"/>
      <c r="M15" s="74" t="n"/>
      <c r="N15" s="74" t="n"/>
      <c r="O15" s="74" t="n"/>
      <c r="P15" s="74" t="n"/>
      <c r="Q15" s="74" t="n"/>
    </row>
    <row r="16">
      <c r="B16" s="89" t="n"/>
      <c r="C16" s="74" t="inlineStr">
        <is>
          <t>Discount Rate (IRR)</t>
        </is>
      </c>
      <c r="D16" s="337" t="n">
        <v>0.15</v>
      </c>
      <c r="E16" s="74" t="n"/>
      <c r="F16" s="74" t="n"/>
      <c r="G16" s="74" t="n"/>
      <c r="H16" s="74" t="n"/>
      <c r="I16" s="74" t="n"/>
      <c r="J16" s="91" t="n"/>
      <c r="K16" s="74" t="n"/>
      <c r="L16" s="74" t="n"/>
      <c r="M16" s="74" t="n"/>
      <c r="N16" s="74" t="n"/>
      <c r="O16" s="74" t="n"/>
      <c r="P16" s="74" t="n"/>
      <c r="Q16" s="74" t="n"/>
    </row>
    <row r="17">
      <c r="B17" s="89" t="n"/>
      <c r="C17" s="74" t="n"/>
      <c r="D17" s="103" t="n"/>
      <c r="E17" s="74" t="n"/>
      <c r="F17" s="74" t="n"/>
      <c r="G17" s="74" t="n"/>
      <c r="H17" s="74" t="n"/>
      <c r="I17" s="74" t="n"/>
      <c r="J17" s="91" t="n"/>
      <c r="K17" s="74" t="n"/>
    </row>
    <row r="18">
      <c r="B18" s="89" t="n"/>
      <c r="C18" s="74" t="inlineStr">
        <is>
          <t>Terminal Growth Rate</t>
        </is>
      </c>
      <c r="D18" s="337" t="n">
        <v>0.03</v>
      </c>
      <c r="E18" s="74" t="n"/>
      <c r="F18" s="74" t="n"/>
      <c r="G18" s="74" t="n"/>
      <c r="H18" s="74" t="n"/>
      <c r="I18" s="74" t="n"/>
      <c r="J18" s="91" t="n"/>
      <c r="K18" s="74" t="n"/>
    </row>
    <row r="19" ht="15.75" customHeight="1">
      <c r="B19" s="89" t="n"/>
      <c r="C19" s="74" t="n"/>
      <c r="D19" s="74" t="n"/>
      <c r="E19" s="74" t="n"/>
      <c r="F19" s="74" t="n"/>
      <c r="G19" s="74" t="n"/>
      <c r="H19" s="74" t="n"/>
      <c r="I19" s="74" t="n"/>
      <c r="J19" s="91" t="n"/>
      <c r="K19" s="74" t="n"/>
    </row>
    <row r="20">
      <c r="B20" s="89" t="n"/>
      <c r="C20" s="11" t="inlineStr">
        <is>
          <t>Equity Value</t>
        </is>
      </c>
      <c r="D20" s="336">
        <f>SUM(E10:I10,I14)</f>
        <v/>
      </c>
      <c r="E20" s="74" t="n"/>
      <c r="F20" s="74" t="n"/>
      <c r="G20" s="74" t="n"/>
      <c r="H20" s="74" t="n"/>
      <c r="I20" s="74" t="n"/>
      <c r="J20" s="91" t="n"/>
      <c r="K20" s="74" t="n"/>
    </row>
    <row r="21">
      <c r="B21" s="89" t="n"/>
      <c r="C21" s="11" t="inlineStr">
        <is>
          <t>(+) Net Debt</t>
        </is>
      </c>
      <c r="D21" s="64">
        <f>'1. P&amp;L'!E53</f>
        <v/>
      </c>
      <c r="E21" s="74" t="inlineStr">
        <is>
          <t>Cash 20M</t>
        </is>
      </c>
      <c r="F21" s="74" t="n"/>
      <c r="G21" s="74" t="n"/>
      <c r="H21" s="74" t="n"/>
      <c r="I21" s="74" t="n"/>
      <c r="J21" s="91" t="n"/>
      <c r="K21" s="74" t="n"/>
    </row>
    <row r="22" ht="17.1" customHeight="1" thickBot="1">
      <c r="B22" s="89" t="n"/>
      <c r="C22" s="8" t="inlineStr">
        <is>
          <t>Enterprise Value</t>
        </is>
      </c>
      <c r="D22" s="338">
        <f>SUM(D20:D21)</f>
        <v/>
      </c>
      <c r="E22" s="74" t="n"/>
      <c r="F22" s="74" t="n"/>
      <c r="G22" s="74" t="n"/>
      <c r="H22" s="74" t="n"/>
      <c r="I22" s="74" t="n"/>
      <c r="J22" s="91" t="n"/>
      <c r="K22" s="74" t="n"/>
    </row>
    <row r="23" ht="17.1" customHeight="1" thickBot="1">
      <c r="B23" s="147" t="n"/>
      <c r="C23" s="36" t="n"/>
      <c r="D23" s="37" t="n"/>
      <c r="E23" s="37" t="n"/>
      <c r="F23" s="37" t="n"/>
      <c r="G23" s="37" t="n"/>
      <c r="H23" s="152" t="n"/>
      <c r="I23" s="152" t="n"/>
      <c r="J23" s="38" t="n"/>
      <c r="K23" s="339" t="n"/>
    </row>
    <row r="26">
      <c r="B26" s="74" t="n"/>
      <c r="C26" s="74" t="n"/>
      <c r="D26" s="74" t="n"/>
      <c r="E26" s="333" t="n"/>
      <c r="F26" s="74" t="n"/>
      <c r="G26" s="74" t="n"/>
      <c r="H26" s="74" t="n"/>
      <c r="I26" s="74" t="n"/>
      <c r="J26" s="74" t="n"/>
      <c r="K26" s="74" t="n"/>
    </row>
    <row r="27">
      <c r="B27" s="74" t="n"/>
      <c r="C27" s="74" t="n"/>
      <c r="D27" s="74" t="n"/>
      <c r="E27" s="333" t="n"/>
      <c r="F27" s="74" t="n"/>
      <c r="G27" s="74" t="n"/>
      <c r="H27" s="74" t="n"/>
      <c r="I27" s="74" t="n"/>
      <c r="J27" s="74" t="n"/>
      <c r="K27" s="74" t="n"/>
    </row>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theme="5"/>
    <outlinePr summaryBelow="1" summaryRight="1"/>
    <pageSetUpPr/>
  </sheetPr>
  <dimension ref="B3:B4"/>
  <sheetViews>
    <sheetView showGridLines="0" workbookViewId="0">
      <selection activeCell="D3" sqref="D3"/>
    </sheetView>
  </sheetViews>
  <sheetFormatPr baseColWidth="8" defaultRowHeight="15"/>
  <sheetData>
    <row r="3" ht="33.75" customHeight="1">
      <c r="B3" s="311" t="inlineStr">
        <is>
          <t>STAR HOTEL</t>
        </is>
      </c>
    </row>
    <row r="4" ht="33.75" customHeight="1">
      <c r="B4" s="311" t="inlineStr">
        <is>
          <t>COMPANY VALUATION</t>
        </is>
      </c>
    </row>
  </sheetData>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tabColor theme="5" tint="0.3999755851924192"/>
    <outlinePr summaryBelow="1" summaryRight="1"/>
    <pageSetUpPr/>
  </sheetPr>
  <dimension ref="D3:I82"/>
  <sheetViews>
    <sheetView showGridLines="0" workbookViewId="0">
      <selection activeCell="F18" sqref="F18"/>
    </sheetView>
  </sheetViews>
  <sheetFormatPr baseColWidth="8" defaultRowHeight="15"/>
  <cols>
    <col width="6" customWidth="1" min="1" max="3"/>
    <col width="67.85546875" customWidth="1" min="4" max="4"/>
    <col width="6.42578125" bestFit="1" customWidth="1" min="5" max="5"/>
  </cols>
  <sheetData>
    <row r="3" ht="21" customFormat="1" customHeight="1" s="292">
      <c r="D3" s="292" t="inlineStr">
        <is>
          <t>Key Assumptions</t>
        </is>
      </c>
    </row>
    <row r="5">
      <c r="D5" s="297" t="inlineStr">
        <is>
          <t>Number of new Hotels per year until 2028</t>
        </is>
      </c>
      <c r="E5" s="298" t="n">
        <v>12</v>
      </c>
    </row>
    <row r="6">
      <c r="D6" s="293" t="inlineStr">
        <is>
          <t>Annual Growth Rate of New Hotels from 2029 onwards</t>
        </is>
      </c>
      <c r="E6" s="294" t="n">
        <v>0.02</v>
      </c>
    </row>
    <row r="7">
      <c r="D7" s="293" t="inlineStr">
        <is>
          <t>Average Daily Rate 2024</t>
        </is>
      </c>
      <c r="E7" s="295" t="n">
        <v>65</v>
      </c>
    </row>
    <row r="8">
      <c r="D8" s="299" t="inlineStr">
        <is>
          <t>COGS cut over 5 years (2024-2028)</t>
        </is>
      </c>
      <c r="E8" s="300" t="n">
        <v>0.02</v>
      </c>
    </row>
    <row r="9">
      <c r="D9" s="293" t="inlineStr">
        <is>
          <t>COGS cut per year - until 2028</t>
        </is>
      </c>
      <c r="E9" s="296">
        <f>E8/5</f>
        <v/>
      </c>
    </row>
    <row r="10">
      <c r="D10" s="299" t="inlineStr">
        <is>
          <t xml:space="preserve">COGS cut over 10 years </t>
        </is>
      </c>
      <c r="E10" s="300" t="n">
        <v>0.025</v>
      </c>
    </row>
    <row r="11">
      <c r="D11" s="293" t="inlineStr">
        <is>
          <t>COGS cut per year - between 2029-2033</t>
        </is>
      </c>
      <c r="E11" s="296">
        <f>(E10-E8)/5</f>
        <v/>
      </c>
    </row>
    <row r="12">
      <c r="D12" s="299" t="inlineStr">
        <is>
          <t>SG&amp;A cut over 3 years (2024-2026)</t>
        </is>
      </c>
      <c r="E12" s="301" t="n">
        <v>0.03</v>
      </c>
    </row>
    <row r="13">
      <c r="D13" s="293" t="inlineStr">
        <is>
          <t>SG&amp;A cut per year - until 2026</t>
        </is>
      </c>
      <c r="E13" s="296">
        <f>E12/3</f>
        <v/>
      </c>
    </row>
    <row r="14">
      <c r="D14" s="299" t="inlineStr">
        <is>
          <t>SG&amp;A cut over 10 years</t>
        </is>
      </c>
      <c r="E14" s="301" t="n">
        <v>0.035</v>
      </c>
    </row>
    <row r="15">
      <c r="D15" s="293" t="inlineStr">
        <is>
          <t>SG&amp;A cut per year - between 2027-2033</t>
        </is>
      </c>
      <c r="E15" s="296">
        <f>(E14-E12)/7</f>
        <v/>
      </c>
    </row>
    <row r="16">
      <c r="D16" s="299" t="inlineStr">
        <is>
          <t>Setup cost per hotel</t>
        </is>
      </c>
      <c r="E16" s="302">
        <f>AVERAGEA((-'Valuation_15%IRR'!$F$77/'Valuation_15%IRR'!$H$15),-'Valuation_15%IRR'!$G$76/'Valuation_15%IRR'!$G$15)</f>
        <v/>
      </c>
    </row>
    <row r="17">
      <c r="D17" s="299" t="inlineStr">
        <is>
          <t>Maintenance capex per hotel</t>
        </is>
      </c>
      <c r="E17" s="324">
        <f>AVERAGEA(-'Valuation_15%IRR'!$F$77/'Valuation_15%IRR'!$F$15,-'Valuation_15%IRR'!$G$77/'Valuation_15%IRR'!$G$15,-'Valuation_15%IRR'!$H$77/'Valuation_15%IRR'!$H$15)</f>
        <v/>
      </c>
    </row>
    <row r="18">
      <c r="D18" s="293" t="inlineStr">
        <is>
          <t>Non-recurring Capex for 2024 - equiv. 2x set-up costs (Fire Damage Repairs)</t>
        </is>
      </c>
      <c r="E18" s="321">
        <f>E16*2</f>
        <v/>
      </c>
    </row>
    <row r="19">
      <c r="D19" s="299" t="inlineStr">
        <is>
          <t>Average Maintenance Capex per hotel</t>
        </is>
      </c>
      <c r="E19" s="302">
        <f>-'Valuation_15%IRR'!F77/'Valuation_15%IRR'!F15</f>
        <v/>
      </c>
    </row>
    <row r="20">
      <c r="D20" s="293" t="inlineStr">
        <is>
          <t>ΔWC - 2024</t>
        </is>
      </c>
      <c r="E20" s="321">
        <f>'Valuation_15%IRR'!H81</f>
        <v/>
      </c>
    </row>
    <row r="21">
      <c r="D21" s="299" t="inlineStr">
        <is>
          <t>ΔWC decrease per year to be 0 by 2028</t>
        </is>
      </c>
      <c r="E21" s="302">
        <f>E20/('Valuation_15%IRR'!$M$73-'Valuation_15%IRR'!$I$73)</f>
        <v/>
      </c>
    </row>
    <row r="22">
      <c r="D22" s="322" t="inlineStr">
        <is>
          <t xml:space="preserve">ΔWC in steady state </t>
        </is>
      </c>
      <c r="E22" s="323" t="n">
        <v>0</v>
      </c>
    </row>
    <row r="82">
      <c r="H82" s="250" t="inlineStr">
        <is>
          <t>=</t>
        </is>
      </c>
      <c r="I82">
        <f>'Key Assumptions'!D62</f>
        <v/>
      </c>
    </row>
  </sheetData>
  <pageMargins left="0.7" right="0.7" top="0.75" bottom="0.75" header="0.3" footer="0.3"/>
</worksheet>
</file>

<file path=xl/worksheets/sheet9.xml><?xml version="1.0" encoding="utf-8"?>
<worksheet xmlns="http://schemas.openxmlformats.org/spreadsheetml/2006/main">
  <sheetPr>
    <tabColor theme="5" tint="0.5999938962981048"/>
    <outlinePr summaryBelow="1" summaryRight="1"/>
    <pageSetUpPr/>
  </sheetPr>
  <dimension ref="B2:W118"/>
  <sheetViews>
    <sheetView showGridLines="0" tabSelected="1" topLeftCell="A68" zoomScale="115" zoomScaleNormal="115" workbookViewId="0">
      <selection activeCell="A78" sqref="A78:XFD79"/>
    </sheetView>
  </sheetViews>
  <sheetFormatPr baseColWidth="8" defaultColWidth="12.7109375" defaultRowHeight="15.75"/>
  <cols>
    <col width="3.42578125" customWidth="1" style="74" min="1" max="1"/>
    <col width="3" customWidth="1" style="74" min="2" max="2"/>
    <col width="43" customWidth="1" style="74" min="3" max="3"/>
    <col width="9.85546875" customWidth="1" style="74" min="4" max="4"/>
    <col width="10.28515625" customWidth="1" style="74" min="5" max="6"/>
    <col width="19" customWidth="1" style="74" min="7" max="7"/>
    <col width="10.28515625" customWidth="1" style="74" min="8" max="18"/>
    <col width="3.5703125" customWidth="1" style="74" min="19" max="19"/>
    <col width="62.5703125" bestFit="1" customWidth="1" style="74" min="20" max="20"/>
    <col width="12.7109375" customWidth="1" style="74" min="21" max="16384"/>
  </cols>
  <sheetData>
    <row r="2">
      <c r="B2" s="86" t="n"/>
      <c r="C2" s="87" t="n"/>
      <c r="D2" s="87" t="n"/>
      <c r="E2" s="87" t="n"/>
      <c r="F2" s="87" t="n"/>
      <c r="G2" s="87" t="n"/>
      <c r="H2" s="87" t="n"/>
      <c r="I2" s="87" t="n"/>
      <c r="J2" s="87" t="n"/>
      <c r="K2" s="87" t="n"/>
      <c r="L2" s="87" t="n"/>
      <c r="M2" s="87" t="n"/>
      <c r="N2" s="87" t="n"/>
      <c r="O2" s="87" t="n"/>
      <c r="P2" s="87" t="n"/>
      <c r="Q2" s="87" t="n"/>
      <c r="R2" s="87" t="n"/>
      <c r="S2" s="88" t="n"/>
    </row>
    <row r="3">
      <c r="B3" s="89" t="n"/>
      <c r="G3" s="90" t="n"/>
      <c r="S3" s="91" t="n"/>
    </row>
    <row r="4">
      <c r="B4" s="89" t="n"/>
      <c r="G4" s="92" t="n"/>
      <c r="S4" s="91" t="n"/>
    </row>
    <row r="5">
      <c r="B5" s="89" t="n"/>
      <c r="G5" s="92" t="n"/>
      <c r="S5" s="91" t="n"/>
    </row>
    <row r="6">
      <c r="B6" s="89" t="n"/>
      <c r="S6" s="91" t="n"/>
    </row>
    <row r="7">
      <c r="B7" s="89" t="n"/>
      <c r="G7" s="93" t="n"/>
      <c r="S7" s="91" t="n"/>
    </row>
    <row r="8">
      <c r="B8" s="89" t="n"/>
      <c r="C8" s="74" t="inlineStr">
        <is>
          <t>Team Number:</t>
        </is>
      </c>
      <c r="D8" s="72" t="n">
        <v>5</v>
      </c>
      <c r="F8" s="94" t="n"/>
      <c r="G8" s="95" t="n"/>
      <c r="S8" s="91" t="n"/>
    </row>
    <row r="9">
      <c r="B9" s="89" t="n"/>
      <c r="F9" s="94" t="n"/>
      <c r="G9" s="95" t="n"/>
      <c r="S9" s="91" t="n"/>
    </row>
    <row r="10">
      <c r="B10" s="40" t="inlineStr">
        <is>
          <t>1a. Profit &amp; Loss</t>
        </is>
      </c>
      <c r="C10" s="29" t="n"/>
      <c r="D10" s="29" t="n"/>
      <c r="E10" s="29" t="n"/>
      <c r="F10" s="29" t="n"/>
      <c r="G10" s="51" t="n"/>
      <c r="H10" s="29" t="n"/>
      <c r="I10" s="29" t="n"/>
      <c r="J10" s="29" t="n"/>
      <c r="K10" s="29" t="n"/>
      <c r="L10" s="29" t="n"/>
      <c r="M10" s="29" t="n"/>
      <c r="N10" s="29" t="n"/>
      <c r="O10" s="29" t="n"/>
      <c r="P10" s="29" t="n"/>
      <c r="Q10" s="29" t="n"/>
      <c r="R10" s="29" t="n"/>
      <c r="S10" s="96" t="n"/>
    </row>
    <row r="11">
      <c r="B11" s="89" t="n"/>
      <c r="S11" s="91" t="n"/>
    </row>
    <row r="12">
      <c r="B12" s="89" t="n"/>
      <c r="C12" s="30" t="n"/>
      <c r="D12" s="30" t="n"/>
      <c r="E12" s="30" t="n"/>
      <c r="F12" s="326" t="inlineStr">
        <is>
          <t>Historical</t>
        </is>
      </c>
      <c r="G12" s="340" t="n"/>
      <c r="H12" s="341" t="n"/>
      <c r="I12" s="97" t="inlineStr">
        <is>
          <t>Growth Phase</t>
        </is>
      </c>
      <c r="J12" s="25" t="n"/>
      <c r="K12" s="25" t="n"/>
      <c r="L12" s="25" t="n"/>
      <c r="M12" s="25" t="n"/>
      <c r="N12" s="327" t="inlineStr">
        <is>
          <t>Steady State Phase</t>
        </is>
      </c>
      <c r="O12" s="340" t="n"/>
      <c r="P12" s="340" t="n"/>
      <c r="Q12" s="340" t="n"/>
      <c r="R12" s="340" t="n"/>
      <c r="S12" s="91" t="n"/>
    </row>
    <row r="13">
      <c r="B13" s="89" t="n"/>
      <c r="C13" s="30" t="n"/>
      <c r="D13" s="30" t="n"/>
      <c r="E13" s="30" t="inlineStr">
        <is>
          <t>Units:</t>
        </is>
      </c>
      <c r="F13" s="30" t="n">
        <v>2021</v>
      </c>
      <c r="G13" s="30" t="n">
        <v>2022</v>
      </c>
      <c r="H13" s="27" t="n">
        <v>2023</v>
      </c>
      <c r="I13" s="98" t="n">
        <v>2024</v>
      </c>
      <c r="J13" s="30" t="n">
        <v>2025</v>
      </c>
      <c r="K13" s="30" t="n">
        <v>2026</v>
      </c>
      <c r="L13" s="30" t="n">
        <v>2027</v>
      </c>
      <c r="M13" s="30" t="n">
        <v>2028</v>
      </c>
      <c r="N13" s="99" t="n">
        <v>2029</v>
      </c>
      <c r="O13" s="30" t="n">
        <v>2030</v>
      </c>
      <c r="P13" s="30" t="n">
        <v>2031</v>
      </c>
      <c r="Q13" s="30" t="n">
        <v>2032</v>
      </c>
      <c r="R13" s="30" t="n">
        <v>2033</v>
      </c>
      <c r="S13" s="91" t="n"/>
    </row>
    <row r="14">
      <c r="B14" s="89" t="n"/>
      <c r="C14" s="100" t="inlineStr">
        <is>
          <t>Leased &amp; Operated:</t>
        </is>
      </c>
      <c r="D14" s="100" t="n"/>
      <c r="E14" s="100" t="n"/>
      <c r="F14" s="101" t="n"/>
      <c r="G14" s="101" t="n"/>
      <c r="H14" s="101" t="n"/>
      <c r="I14" s="101" t="n"/>
      <c r="J14" s="101" t="n"/>
      <c r="K14" s="101" t="n"/>
      <c r="L14" s="101" t="n"/>
      <c r="M14" s="101" t="n"/>
      <c r="N14" s="101" t="n"/>
      <c r="O14" s="101" t="n"/>
      <c r="P14" s="101" t="n"/>
      <c r="Q14" s="101" t="n"/>
      <c r="R14" s="101" t="n"/>
      <c r="S14" s="91" t="n"/>
    </row>
    <row r="15">
      <c r="B15" s="89" t="n"/>
      <c r="C15" s="102" t="inlineStr">
        <is>
          <t>Hotels at Year End</t>
        </is>
      </c>
      <c r="D15" s="102" t="n"/>
      <c r="E15" s="103" t="inlineStr">
        <is>
          <t>#</t>
        </is>
      </c>
      <c r="F15" s="342" t="n">
        <v>273</v>
      </c>
      <c r="G15" s="342" t="n">
        <v>285</v>
      </c>
      <c r="H15" s="342" t="n">
        <v>300</v>
      </c>
      <c r="I15" s="28">
        <f>H15+'Key Assumptions'!$E$5</f>
        <v/>
      </c>
      <c r="J15" s="28">
        <f>I15+'Key Assumptions'!$E$5</f>
        <v/>
      </c>
      <c r="K15" s="28">
        <f>J15+'Key Assumptions'!$E$5</f>
        <v/>
      </c>
      <c r="L15" s="28">
        <f>K15+'Key Assumptions'!$E$5</f>
        <v/>
      </c>
      <c r="M15" s="28">
        <f>L15+'Key Assumptions'!$E$5</f>
        <v/>
      </c>
      <c r="N15" s="28">
        <f>M15*(1+N18)</f>
        <v/>
      </c>
      <c r="O15" s="28">
        <f>N15*(1+O18)</f>
        <v/>
      </c>
      <c r="P15" s="28">
        <f>O15*(1+P18)</f>
        <v/>
      </c>
      <c r="Q15" s="28">
        <f>P15*(1+Q18)</f>
        <v/>
      </c>
      <c r="R15" s="28">
        <f>Q15*(1+R18)</f>
        <v/>
      </c>
      <c r="S15" s="105" t="n"/>
    </row>
    <row r="16">
      <c r="B16" s="89" t="n"/>
      <c r="C16" s="102" t="inlineStr">
        <is>
          <t>Hotels Out of Service</t>
        </is>
      </c>
      <c r="D16" s="102" t="n"/>
      <c r="E16" s="103" t="inlineStr">
        <is>
          <t>#</t>
        </is>
      </c>
      <c r="F16" s="342" t="n"/>
      <c r="G16" s="342" t="n"/>
      <c r="H16" s="342" t="n"/>
      <c r="I16" s="284" t="n">
        <v>1</v>
      </c>
      <c r="J16" s="28" t="n"/>
      <c r="K16" s="28" t="n"/>
      <c r="L16" s="28" t="n"/>
      <c r="M16" s="28" t="n"/>
      <c r="N16" s="28" t="n"/>
      <c r="O16" s="28" t="n"/>
      <c r="P16" s="28" t="n"/>
      <c r="Q16" s="28" t="n"/>
      <c r="R16" s="28" t="n"/>
      <c r="S16" s="105" t="n"/>
    </row>
    <row r="17">
      <c r="B17" s="89" t="n"/>
      <c r="C17" s="102" t="inlineStr">
        <is>
          <t>Operating Hotels at Year End</t>
        </is>
      </c>
      <c r="D17" s="102" t="n"/>
      <c r="E17" s="103" t="inlineStr">
        <is>
          <t>#</t>
        </is>
      </c>
      <c r="F17" s="342">
        <f>F15-F16</f>
        <v/>
      </c>
      <c r="G17" s="342">
        <f>G15-G16</f>
        <v/>
      </c>
      <c r="H17" s="342">
        <f>H15-H16</f>
        <v/>
      </c>
      <c r="I17" s="28">
        <f>I15-I16</f>
        <v/>
      </c>
      <c r="J17" s="28">
        <f>J15-J16</f>
        <v/>
      </c>
      <c r="K17" s="28">
        <f>K15-K16</f>
        <v/>
      </c>
      <c r="L17" s="28">
        <f>L15-L16</f>
        <v/>
      </c>
      <c r="M17" s="28">
        <f>M15-M16</f>
        <v/>
      </c>
      <c r="N17" s="28">
        <f>N15-N16</f>
        <v/>
      </c>
      <c r="O17" s="28">
        <f>O15-O16</f>
        <v/>
      </c>
      <c r="P17" s="28">
        <f>P15-P16</f>
        <v/>
      </c>
      <c r="Q17" s="28">
        <f>Q15-Q16</f>
        <v/>
      </c>
      <c r="R17" s="28">
        <f>R15-R16</f>
        <v/>
      </c>
      <c r="S17" s="105" t="n"/>
    </row>
    <row r="18">
      <c r="B18" s="89" t="n"/>
      <c r="C18" s="240" t="inlineStr">
        <is>
          <t>Number of Hotels Growth</t>
        </is>
      </c>
      <c r="D18" s="241" t="n"/>
      <c r="E18" s="282" t="inlineStr">
        <is>
          <t>%</t>
        </is>
      </c>
      <c r="F18" s="242" t="n"/>
      <c r="G18" s="242">
        <f>(G15-F15)/F15</f>
        <v/>
      </c>
      <c r="H18" s="242">
        <f>(H15-G15)/G15</f>
        <v/>
      </c>
      <c r="I18" s="242">
        <f>(I15-H15)/H15</f>
        <v/>
      </c>
      <c r="J18" s="242">
        <f>(J15-I15)/I15</f>
        <v/>
      </c>
      <c r="K18" s="242">
        <f>(K15-J15)/J15</f>
        <v/>
      </c>
      <c r="L18" s="242">
        <f>(L15-K15)/K15</f>
        <v/>
      </c>
      <c r="M18" s="242">
        <f>(M15-L15)/L15</f>
        <v/>
      </c>
      <c r="N18" s="242">
        <f>'Key Assumptions'!$E$6</f>
        <v/>
      </c>
      <c r="O18" s="242">
        <f>'Key Assumptions'!$E$6</f>
        <v/>
      </c>
      <c r="P18" s="242">
        <f>'Key Assumptions'!$E$6</f>
        <v/>
      </c>
      <c r="Q18" s="242">
        <f>'Key Assumptions'!$E$6</f>
        <v/>
      </c>
      <c r="R18" s="242">
        <f>'Key Assumptions'!$E$6</f>
        <v/>
      </c>
      <c r="S18" s="105" t="n"/>
    </row>
    <row r="19">
      <c r="B19" s="89" t="n"/>
      <c r="C19" s="106" t="n"/>
      <c r="D19" s="106" t="n"/>
      <c r="E19" s="107" t="n"/>
      <c r="F19" s="108" t="n"/>
      <c r="G19" s="108" t="n"/>
      <c r="H19" s="108" t="n"/>
      <c r="I19" s="343" t="n"/>
      <c r="J19" s="343" t="n"/>
      <c r="K19" s="343" t="n"/>
      <c r="L19" s="343" t="n"/>
      <c r="M19" s="343" t="n"/>
      <c r="N19" s="343" t="n"/>
      <c r="O19" s="343" t="n"/>
      <c r="P19" s="343" t="n"/>
      <c r="Q19" s="343" t="n"/>
      <c r="R19" s="343" t="n"/>
      <c r="S19" s="91" t="n"/>
    </row>
    <row r="20">
      <c r="B20" s="89" t="n"/>
      <c r="C20" s="106" t="n"/>
      <c r="D20" s="106" t="n"/>
      <c r="E20" s="107" t="n"/>
      <c r="F20" s="108" t="n"/>
      <c r="G20" s="108" t="n"/>
      <c r="H20" s="108" t="n"/>
      <c r="I20" s="343" t="n"/>
      <c r="J20" s="343" t="n"/>
      <c r="K20" s="343" t="n"/>
      <c r="L20" s="343" t="n"/>
      <c r="M20" s="343" t="n"/>
      <c r="N20" s="343" t="n"/>
      <c r="O20" s="343" t="n"/>
      <c r="P20" s="343" t="n"/>
      <c r="Q20" s="343" t="n"/>
      <c r="R20" s="343" t="n"/>
      <c r="S20" s="91" t="n"/>
    </row>
    <row r="21">
      <c r="B21" s="89" t="n"/>
      <c r="C21" s="102" t="inlineStr">
        <is>
          <t>Rooms per Hotel</t>
        </is>
      </c>
      <c r="D21" s="102" t="n"/>
      <c r="E21" s="103" t="inlineStr">
        <is>
          <t>#</t>
        </is>
      </c>
      <c r="F21" s="342" t="n">
        <v>120</v>
      </c>
      <c r="G21" s="342" t="n">
        <v>120</v>
      </c>
      <c r="H21" s="342" t="n">
        <v>120</v>
      </c>
      <c r="I21" s="28">
        <f>H21</f>
        <v/>
      </c>
      <c r="J21" s="28">
        <f>I21</f>
        <v/>
      </c>
      <c r="K21" s="28">
        <f>J21</f>
        <v/>
      </c>
      <c r="L21" s="28">
        <f>K21</f>
        <v/>
      </c>
      <c r="M21" s="28">
        <f>L21</f>
        <v/>
      </c>
      <c r="N21" s="28" t="n">
        <v>120</v>
      </c>
      <c r="O21" s="28" t="n">
        <v>120</v>
      </c>
      <c r="P21" s="28" t="n">
        <v>120</v>
      </c>
      <c r="Q21" s="28" t="n">
        <v>120</v>
      </c>
      <c r="R21" s="28" t="n">
        <v>120</v>
      </c>
      <c r="S21" s="91" t="n"/>
    </row>
    <row r="22">
      <c r="B22" s="89" t="n"/>
      <c r="C22" s="106" t="n"/>
      <c r="D22" s="106" t="n"/>
      <c r="E22" s="107" t="n"/>
      <c r="F22" s="344" t="n"/>
      <c r="G22" s="343" t="n"/>
      <c r="H22" s="343" t="n"/>
      <c r="I22" s="343" t="n"/>
      <c r="J22" s="343" t="n"/>
      <c r="K22" s="343" t="n"/>
      <c r="L22" s="343" t="n"/>
      <c r="M22" s="343" t="n"/>
      <c r="N22" s="343" t="n"/>
      <c r="O22" s="343" t="n"/>
      <c r="P22" s="343" t="n"/>
      <c r="Q22" s="343" t="n"/>
      <c r="R22" s="343" t="n"/>
      <c r="S22" s="91" t="n"/>
    </row>
    <row r="23">
      <c r="B23" s="89" t="n"/>
      <c r="C23" s="102" t="inlineStr">
        <is>
          <t>Average Occupancy Rate</t>
        </is>
      </c>
      <c r="D23" s="102" t="n"/>
      <c r="E23" s="103" t="inlineStr">
        <is>
          <t>%</t>
        </is>
      </c>
      <c r="F23" s="345" t="n">
        <v>0.76</v>
      </c>
      <c r="G23" s="345" t="n">
        <v>0.765</v>
      </c>
      <c r="H23" s="345" t="n">
        <v>0.728</v>
      </c>
      <c r="I23" s="346" t="n">
        <v>0.74</v>
      </c>
      <c r="J23" s="346" t="n">
        <v>0.743</v>
      </c>
      <c r="K23" s="346" t="n">
        <v>0.746</v>
      </c>
      <c r="L23" s="346" t="n">
        <v>0.749</v>
      </c>
      <c r="M23" s="346" t="n">
        <v>0.752</v>
      </c>
      <c r="N23" s="346">
        <f>M23</f>
        <v/>
      </c>
      <c r="O23" s="346">
        <f>N23</f>
        <v/>
      </c>
      <c r="P23" s="346">
        <f>O23</f>
        <v/>
      </c>
      <c r="Q23" s="346">
        <f>P23</f>
        <v/>
      </c>
      <c r="R23" s="346">
        <f>Q23</f>
        <v/>
      </c>
      <c r="S23" s="91" t="n"/>
    </row>
    <row r="24">
      <c r="B24" s="89" t="n"/>
      <c r="C24" s="102" t="n"/>
      <c r="D24" s="102" t="n"/>
      <c r="E24" s="103" t="n"/>
      <c r="F24" s="345" t="n"/>
      <c r="G24" s="345" t="n"/>
      <c r="H24" s="345" t="n"/>
      <c r="I24" s="346">
        <f>I23/H23-1</f>
        <v/>
      </c>
      <c r="J24" s="346">
        <f>J23/I23-1</f>
        <v/>
      </c>
      <c r="K24" s="346">
        <f>K23/J23-1</f>
        <v/>
      </c>
      <c r="L24" s="346">
        <f>L23/K23-1</f>
        <v/>
      </c>
      <c r="M24" s="346">
        <f>M23/L23-1</f>
        <v/>
      </c>
      <c r="N24" s="346">
        <f>N23/M23-1</f>
        <v/>
      </c>
      <c r="O24" s="346">
        <f>O23/N23-1</f>
        <v/>
      </c>
      <c r="P24" s="346">
        <f>P23/O23-1</f>
        <v/>
      </c>
      <c r="Q24" s="346">
        <f>Q23/P23-1</f>
        <v/>
      </c>
      <c r="R24" s="346">
        <f>R23/Q23-1</f>
        <v/>
      </c>
      <c r="S24" s="91" t="n"/>
    </row>
    <row r="25">
      <c r="B25" s="89" t="n"/>
      <c r="C25" s="102" t="inlineStr">
        <is>
          <t>ADR (Average Daily Rate)</t>
        </is>
      </c>
      <c r="D25" s="102" t="n"/>
      <c r="E25" s="114" t="inlineStr">
        <is>
          <t>€</t>
        </is>
      </c>
      <c r="F25" s="347" t="n">
        <v>69.09999999999999</v>
      </c>
      <c r="G25" s="347" t="n">
        <v>69.09999999999999</v>
      </c>
      <c r="H25" s="347" t="n">
        <v>69.09999999999999</v>
      </c>
      <c r="I25" s="348" t="n">
        <v>65</v>
      </c>
      <c r="J25" s="348" t="n">
        <v>69.5</v>
      </c>
      <c r="K25" s="348" t="n">
        <v>70.59999999999999</v>
      </c>
      <c r="L25" s="348" t="n">
        <v>71.90000000000001</v>
      </c>
      <c r="M25" s="348" t="n">
        <v>73.40000000000001</v>
      </c>
      <c r="N25" s="348">
        <f>M25</f>
        <v/>
      </c>
      <c r="O25" s="348">
        <f>N25</f>
        <v/>
      </c>
      <c r="P25" s="348">
        <f>O25</f>
        <v/>
      </c>
      <c r="Q25" s="348">
        <f>P25</f>
        <v/>
      </c>
      <c r="R25" s="348">
        <f>Q25</f>
        <v/>
      </c>
      <c r="S25" s="91" t="n"/>
    </row>
    <row r="26">
      <c r="B26" s="89" t="n"/>
      <c r="C26" s="102" t="n"/>
      <c r="D26" s="102" t="n"/>
      <c r="E26" s="114" t="n"/>
      <c r="F26" s="347" t="n"/>
      <c r="G26" s="347" t="n"/>
      <c r="H26" s="347" t="n"/>
      <c r="I26" s="346">
        <f>I25/H25-1</f>
        <v/>
      </c>
      <c r="J26" s="346">
        <f>J25/I25-1</f>
        <v/>
      </c>
      <c r="K26" s="346">
        <f>K25/J25-1</f>
        <v/>
      </c>
      <c r="L26" s="346">
        <f>L25/K25-1</f>
        <v/>
      </c>
      <c r="M26" s="346">
        <f>M25/L25-1</f>
        <v/>
      </c>
      <c r="N26" s="346">
        <f>N25/M25-1</f>
        <v/>
      </c>
      <c r="O26" s="346">
        <f>O25/N25-1</f>
        <v/>
      </c>
      <c r="P26" s="346">
        <f>P25/O25-1</f>
        <v/>
      </c>
      <c r="Q26" s="346">
        <f>Q25/P25-1</f>
        <v/>
      </c>
      <c r="R26" s="346">
        <f>R25/Q25-1</f>
        <v/>
      </c>
      <c r="S26" s="91" t="n"/>
    </row>
    <row r="27">
      <c r="B27" s="89" t="n"/>
      <c r="C27" s="102" t="inlineStr">
        <is>
          <t>RevPAR (Revenue per Available Room)</t>
        </is>
      </c>
      <c r="D27" s="102" t="n"/>
      <c r="E27" s="114" t="inlineStr">
        <is>
          <t>€</t>
        </is>
      </c>
      <c r="F27" s="347">
        <f>+F25*F23</f>
        <v/>
      </c>
      <c r="G27" s="347">
        <f>+G25*G23</f>
        <v/>
      </c>
      <c r="H27" s="347">
        <f>+H25*H23</f>
        <v/>
      </c>
      <c r="I27" s="349">
        <f>I23*I25</f>
        <v/>
      </c>
      <c r="J27" s="349">
        <f>J23*J25</f>
        <v/>
      </c>
      <c r="K27" s="349">
        <f>K23*K25</f>
        <v/>
      </c>
      <c r="L27" s="349">
        <f>L23*L25</f>
        <v/>
      </c>
      <c r="M27" s="349">
        <f>M23*M25</f>
        <v/>
      </c>
      <c r="N27" s="350">
        <f>N23*N25</f>
        <v/>
      </c>
      <c r="O27" s="350">
        <f>O23*O25</f>
        <v/>
      </c>
      <c r="P27" s="350">
        <f>P23*P25</f>
        <v/>
      </c>
      <c r="Q27" s="350">
        <f>Q23*Q25</f>
        <v/>
      </c>
      <c r="R27" s="350">
        <f>R23*R25</f>
        <v/>
      </c>
      <c r="S27" s="91" t="n"/>
      <c r="T27" s="351" t="n"/>
    </row>
    <row r="28">
      <c r="B28" s="89" t="n"/>
      <c r="C28" s="120" t="inlineStr">
        <is>
          <t>Revenue</t>
        </is>
      </c>
      <c r="D28" s="120" t="n"/>
      <c r="E28" s="121" t="inlineStr">
        <is>
          <t>€m</t>
        </is>
      </c>
      <c r="F28" s="352" t="n">
        <v>626.8</v>
      </c>
      <c r="G28" s="352">
        <f>(AVERAGE(F$21:G$21)*AVERAGE(F$17:G$17)*G$27*365)/1000000</f>
        <v/>
      </c>
      <c r="H28" s="352">
        <f>(AVERAGE(G$21:H$21)*AVERAGE(G$17:H$17)*H$27*365)/1000000</f>
        <v/>
      </c>
      <c r="I28" s="353">
        <f>(AVERAGE(H$21:I$21)*AVERAGE(H$17:I$17)*I$27*365)/1000000</f>
        <v/>
      </c>
      <c r="J28" s="353">
        <f>(AVERAGE(I$21:J$21)*AVERAGE(I$17:J$17)*J$27*365)/1000000</f>
        <v/>
      </c>
      <c r="K28" s="352">
        <f>(AVERAGE(J$21:K$21)*AVERAGE(J$17:K$17)*K$27*365)/1000000</f>
        <v/>
      </c>
      <c r="L28" s="352">
        <f>(AVERAGE(K$21:L$21)*AVERAGE(K$17:L$17)*L$27*365)/1000000</f>
        <v/>
      </c>
      <c r="M28" s="352">
        <f>(AVERAGE(L$21:M$21)*AVERAGE(L$17:M$17)*M$27*365)/1000000</f>
        <v/>
      </c>
      <c r="N28" s="352">
        <f>(AVERAGE(M$21:N$21)*AVERAGE(M$17:N$17)*N$27*365)/1000000</f>
        <v/>
      </c>
      <c r="O28" s="352">
        <f>(AVERAGE(N$21:O$21)*AVERAGE(N$17:O$17)*O$27*365)/1000000</f>
        <v/>
      </c>
      <c r="P28" s="352">
        <f>(AVERAGE(O$21:P$21)*AVERAGE(O$17:P$17)*P$27*365)/1000000</f>
        <v/>
      </c>
      <c r="Q28" s="352">
        <f>(AVERAGE(P$21:Q$21)*AVERAGE(P$17:Q$17)*Q$27*365)/1000000</f>
        <v/>
      </c>
      <c r="R28" s="352">
        <f>(AVERAGE(Q$21:R$21)*AVERAGE(Q$17:R$17)*R$27*365)/1000000</f>
        <v/>
      </c>
      <c r="S28" s="91" t="n"/>
    </row>
    <row r="29">
      <c r="B29" s="89" t="n"/>
      <c r="C29" s="248" t="inlineStr">
        <is>
          <t>YoY Revenue Growth</t>
        </is>
      </c>
      <c r="D29" s="246" t="n"/>
      <c r="E29" s="281" t="inlineStr">
        <is>
          <t>%</t>
        </is>
      </c>
      <c r="F29" s="354" t="n"/>
      <c r="G29" s="258">
        <f>G28/F28-1</f>
        <v/>
      </c>
      <c r="H29" s="258">
        <f>H28/G28-1</f>
        <v/>
      </c>
      <c r="I29" s="258">
        <f>I28/H28-1</f>
        <v/>
      </c>
      <c r="J29" s="258">
        <f>J28/I28-1</f>
        <v/>
      </c>
      <c r="K29" s="258">
        <f>K28/J28-1</f>
        <v/>
      </c>
      <c r="L29" s="258">
        <f>L28/K28-1</f>
        <v/>
      </c>
      <c r="M29" s="258">
        <f>M28/L28-1</f>
        <v/>
      </c>
      <c r="N29" s="258">
        <f>N28/M28-1</f>
        <v/>
      </c>
      <c r="O29" s="258">
        <f>O28/N28-1</f>
        <v/>
      </c>
      <c r="P29" s="258">
        <f>P28/O28-1</f>
        <v/>
      </c>
      <c r="Q29" s="258">
        <f>Q28/P28-1</f>
        <v/>
      </c>
      <c r="R29" s="258">
        <f>R28/Q28-1</f>
        <v/>
      </c>
      <c r="S29" s="91" t="n"/>
    </row>
    <row r="30">
      <c r="B30" s="89" t="n"/>
      <c r="C30" s="120" t="inlineStr">
        <is>
          <t>Adjusted Revenues</t>
        </is>
      </c>
      <c r="D30" s="120" t="n"/>
      <c r="E30" s="121" t="inlineStr">
        <is>
          <t>€m</t>
        </is>
      </c>
      <c r="F30" s="352" t="n">
        <v>626.8</v>
      </c>
      <c r="G30" s="352">
        <f>(AVERAGE(F$21:G$21)*AVERAGE(F$15:G$15)*G$27*365)/1000000</f>
        <v/>
      </c>
      <c r="H30" s="352">
        <f>(AVERAGE(G$21:H$21)*AVERAGE(G$15:H$15)*H$27*365)/1000000</f>
        <v/>
      </c>
      <c r="I30" s="353">
        <f>(AVERAGE(H$21:I$21)*AVERAGE(H$15:I$15)*I$27*365)/1000000</f>
        <v/>
      </c>
      <c r="J30" s="353">
        <f>(AVERAGE(I$21:J$21)*AVERAGE(I$15:J$15)*J$27*365)/1000000</f>
        <v/>
      </c>
      <c r="K30" s="352">
        <f>(AVERAGE(J$21:K$21)*AVERAGE(J$15:K$15)*K$27*365)/1000000</f>
        <v/>
      </c>
      <c r="L30" s="352">
        <f>(AVERAGE(K$21:L$21)*AVERAGE(K$15:L$15)*L$27*365)/1000000</f>
        <v/>
      </c>
      <c r="M30" s="352">
        <f>(AVERAGE(L$21:M$21)*AVERAGE(L$15:M$15)*M$27*365)/1000000</f>
        <v/>
      </c>
      <c r="N30" s="352">
        <f>(AVERAGE(M$21:N$21)*AVERAGE(M$15:N$15)*N$27*365)/1000000</f>
        <v/>
      </c>
      <c r="O30" s="352">
        <f>(AVERAGE(N$21:O$21)*AVERAGE(N$15:O$15)*O$27*365)/1000000</f>
        <v/>
      </c>
      <c r="P30" s="352">
        <f>(AVERAGE(O$21:P$21)*AVERAGE(O$15:P$15)*P$27*365)/1000000</f>
        <v/>
      </c>
      <c r="Q30" s="352">
        <f>(AVERAGE(P$21:Q$21)*AVERAGE(P$15:Q$15)*Q$27*365)/1000000</f>
        <v/>
      </c>
      <c r="R30" s="352">
        <f>(AVERAGE(Q$21:R$21)*AVERAGE(Q$15:R$15)*R$27*365)/1000000</f>
        <v/>
      </c>
      <c r="S30" s="91" t="n"/>
    </row>
    <row r="31">
      <c r="B31" s="89" t="n"/>
      <c r="C31" s="248" t="inlineStr">
        <is>
          <t>YoY Adjusted Revenue Growth</t>
        </is>
      </c>
      <c r="D31" s="246" t="n"/>
      <c r="E31" s="281" t="inlineStr">
        <is>
          <t>%</t>
        </is>
      </c>
      <c r="F31" s="354" t="n"/>
      <c r="G31" s="258">
        <f>G30/F30-1</f>
        <v/>
      </c>
      <c r="H31" s="258">
        <f>H30/G30-1</f>
        <v/>
      </c>
      <c r="I31" s="258">
        <f>I30/H30-1</f>
        <v/>
      </c>
      <c r="J31" s="258">
        <f>J30/I30-1</f>
        <v/>
      </c>
      <c r="K31" s="258">
        <f>K30/J30-1</f>
        <v/>
      </c>
      <c r="L31" s="258">
        <f>L30/K30-1</f>
        <v/>
      </c>
      <c r="M31" s="258">
        <f>M30/L30-1</f>
        <v/>
      </c>
      <c r="N31" s="258">
        <f>N30/M30-1</f>
        <v/>
      </c>
      <c r="O31" s="258">
        <f>O30/N30-1</f>
        <v/>
      </c>
      <c r="P31" s="258">
        <f>P30/O30-1</f>
        <v/>
      </c>
      <c r="Q31" s="258">
        <f>Q30/P30-1</f>
        <v/>
      </c>
      <c r="R31" s="258">
        <f>R30/Q30-1</f>
        <v/>
      </c>
      <c r="S31" s="91" t="n"/>
    </row>
    <row r="32">
      <c r="B32" s="89" t="n"/>
      <c r="C32" s="106" t="n"/>
      <c r="D32" s="106" t="n"/>
      <c r="E32" s="106" t="n"/>
      <c r="F32" s="355" t="n"/>
      <c r="G32" s="343" t="n"/>
      <c r="H32" s="343" t="n"/>
      <c r="I32" s="343" t="n"/>
      <c r="J32" s="343" t="n"/>
      <c r="K32" s="343" t="n"/>
      <c r="L32" s="343" t="n"/>
      <c r="M32" s="343" t="n"/>
      <c r="N32" s="344" t="n"/>
      <c r="O32" s="344" t="n"/>
      <c r="P32" s="344" t="n"/>
      <c r="Q32" s="344" t="n"/>
      <c r="R32" s="344" t="n"/>
      <c r="S32" s="91" t="n"/>
      <c r="T32" s="201" t="n"/>
    </row>
    <row r="33">
      <c r="B33" s="89" t="n"/>
      <c r="C33" s="74" t="inlineStr">
        <is>
          <t>Hotel Operating Costs (COGS)</t>
        </is>
      </c>
      <c r="E33" s="114" t="inlineStr">
        <is>
          <t>€m</t>
        </is>
      </c>
      <c r="F33" s="356" t="n">
        <v>319.9</v>
      </c>
      <c r="G33" s="356" t="n">
        <v>324.7</v>
      </c>
      <c r="H33" s="356" t="n">
        <v>324</v>
      </c>
      <c r="I33" s="356">
        <f>I28*I34</f>
        <v/>
      </c>
      <c r="J33" s="356">
        <f>J28*J34</f>
        <v/>
      </c>
      <c r="K33" s="356">
        <f>K28*K34</f>
        <v/>
      </c>
      <c r="L33" s="356">
        <f>L28*L34</f>
        <v/>
      </c>
      <c r="M33" s="356">
        <f>M28*M34</f>
        <v/>
      </c>
      <c r="N33" s="356">
        <f>N28*N34</f>
        <v/>
      </c>
      <c r="O33" s="356">
        <f>O28*O34</f>
        <v/>
      </c>
      <c r="P33" s="356">
        <f>P28*P34</f>
        <v/>
      </c>
      <c r="Q33" s="356">
        <f>Q28*Q34</f>
        <v/>
      </c>
      <c r="R33" s="356">
        <f>R28*R34</f>
        <v/>
      </c>
      <c r="S33" s="91" t="n"/>
    </row>
    <row r="34">
      <c r="B34" s="89" t="n"/>
      <c r="C34" s="125" t="inlineStr">
        <is>
          <t>% of revenue</t>
        </is>
      </c>
      <c r="D34" s="125" t="n"/>
      <c r="E34" s="125" t="n"/>
      <c r="F34" s="357" t="n"/>
      <c r="G34" s="330">
        <f>+G33/G28</f>
        <v/>
      </c>
      <c r="H34" s="330">
        <f>+H33/H28</f>
        <v/>
      </c>
      <c r="I34" s="358">
        <f>H34-'Key Assumptions'!$E$9</f>
        <v/>
      </c>
      <c r="J34" s="358">
        <f>I34-'Key Assumptions'!$E$9</f>
        <v/>
      </c>
      <c r="K34" s="358">
        <f>J34-'Key Assumptions'!$E$9</f>
        <v/>
      </c>
      <c r="L34" s="358">
        <f>K34-'Key Assumptions'!$E$9</f>
        <v/>
      </c>
      <c r="M34" s="358">
        <f>L34-'Key Assumptions'!$E$9</f>
        <v/>
      </c>
      <c r="N34" s="358">
        <f>M34-'Key Assumptions'!$E$11</f>
        <v/>
      </c>
      <c r="O34" s="358">
        <f>N34-'Key Assumptions'!$E$11</f>
        <v/>
      </c>
      <c r="P34" s="358">
        <f>O34-'Key Assumptions'!$E$11</f>
        <v/>
      </c>
      <c r="Q34" s="358">
        <f>P34-'Key Assumptions'!$E$11</f>
        <v/>
      </c>
      <c r="R34" s="358">
        <f>Q34-'Key Assumptions'!$E$11</f>
        <v/>
      </c>
      <c r="S34" s="91" t="inlineStr">
        <is>
          <t>%</t>
        </is>
      </c>
      <c r="T34" s="130" t="n"/>
    </row>
    <row r="35">
      <c r="B35" s="89" t="n"/>
      <c r="C35" s="106" t="n"/>
      <c r="D35" s="106" t="n"/>
      <c r="E35" s="106" t="n"/>
      <c r="F35" s="343" t="n"/>
      <c r="G35" s="343" t="n"/>
      <c r="H35" s="343" t="n"/>
      <c r="I35" s="343" t="n"/>
      <c r="J35" s="343" t="n"/>
      <c r="K35" s="343" t="n"/>
      <c r="L35" s="343" t="n"/>
      <c r="M35" s="343" t="n"/>
      <c r="N35" s="343" t="n"/>
      <c r="O35" s="343" t="n"/>
      <c r="P35" s="343" t="n"/>
      <c r="Q35" s="343" t="n"/>
      <c r="R35" s="343" t="n"/>
      <c r="S35" s="91" t="n"/>
    </row>
    <row r="36">
      <c r="B36" s="89" t="n"/>
      <c r="C36" s="74" t="inlineStr">
        <is>
          <t>SG&amp;A</t>
        </is>
      </c>
      <c r="E36" s="114" t="inlineStr">
        <is>
          <t>€m</t>
        </is>
      </c>
      <c r="F36" s="356" t="n">
        <v>170</v>
      </c>
      <c r="G36" s="356" t="n">
        <v>179</v>
      </c>
      <c r="H36" s="356">
        <f>208</f>
        <v/>
      </c>
      <c r="I36" s="356">
        <f>I28*I37</f>
        <v/>
      </c>
      <c r="J36" s="356">
        <f>J28*J37</f>
        <v/>
      </c>
      <c r="K36" s="356">
        <f>K28*K37</f>
        <v/>
      </c>
      <c r="L36" s="356">
        <f>L28*L37</f>
        <v/>
      </c>
      <c r="M36" s="356">
        <f>M28*M37</f>
        <v/>
      </c>
      <c r="N36" s="356">
        <f>N28*N37</f>
        <v/>
      </c>
      <c r="O36" s="356">
        <f>O28*O37</f>
        <v/>
      </c>
      <c r="P36" s="356">
        <f>P28*P37</f>
        <v/>
      </c>
      <c r="Q36" s="356">
        <f>Q28*Q37</f>
        <v/>
      </c>
      <c r="R36" s="356">
        <f>R28*R37</f>
        <v/>
      </c>
      <c r="S36" s="91" t="n"/>
    </row>
    <row r="37">
      <c r="B37" s="89" t="n"/>
      <c r="C37" s="125" t="inlineStr">
        <is>
          <t>% of revenue</t>
        </is>
      </c>
      <c r="D37" s="125" t="n"/>
      <c r="E37" s="125" t="n"/>
      <c r="F37" s="330">
        <f>F36/F28</f>
        <v/>
      </c>
      <c r="G37" s="330">
        <f>G36/G28</f>
        <v/>
      </c>
      <c r="H37" s="330">
        <f>H36/H28</f>
        <v/>
      </c>
      <c r="I37" s="358">
        <f>H37-'Key Assumptions'!$E$13</f>
        <v/>
      </c>
      <c r="J37" s="358">
        <f>I37-'Key Assumptions'!$E$13</f>
        <v/>
      </c>
      <c r="K37" s="358">
        <f>J37-'Key Assumptions'!$E$13</f>
        <v/>
      </c>
      <c r="L37" s="358">
        <f>K37-'Key Assumptions'!$E$15</f>
        <v/>
      </c>
      <c r="M37" s="358">
        <f>L37-'Key Assumptions'!$E$15</f>
        <v/>
      </c>
      <c r="N37" s="358">
        <f>M37-'Key Assumptions'!$E$15</f>
        <v/>
      </c>
      <c r="O37" s="358">
        <f>N37-'Key Assumptions'!$E$15</f>
        <v/>
      </c>
      <c r="P37" s="358">
        <f>O37-'Key Assumptions'!$E$15</f>
        <v/>
      </c>
      <c r="Q37" s="358">
        <f>P37-'Key Assumptions'!$E$15</f>
        <v/>
      </c>
      <c r="R37" s="358">
        <f>Q37-'Key Assumptions'!$E$15</f>
        <v/>
      </c>
      <c r="S37" s="91" t="n"/>
    </row>
    <row r="38">
      <c r="B38" s="131" t="n"/>
      <c r="F38" s="343" t="n"/>
      <c r="G38" s="343" t="n"/>
      <c r="H38" s="343" t="n"/>
      <c r="I38" s="343" t="n"/>
      <c r="J38" s="343" t="n"/>
      <c r="K38" s="343" t="n"/>
      <c r="L38" s="343" t="n"/>
      <c r="M38" s="343" t="n"/>
      <c r="N38" s="343" t="n"/>
      <c r="O38" s="343" t="n"/>
      <c r="P38" s="343" t="n"/>
      <c r="Q38" s="343" t="n"/>
      <c r="R38" s="343" t="n"/>
      <c r="S38" s="91" t="n"/>
    </row>
    <row r="39">
      <c r="B39" s="131" t="n"/>
      <c r="C39" s="74" t="inlineStr">
        <is>
          <t>Non-Recurring Item (one hotel caught fire)</t>
        </is>
      </c>
      <c r="E39" s="114" t="inlineStr">
        <is>
          <t>€m</t>
        </is>
      </c>
      <c r="F39" s="343" t="n"/>
      <c r="G39" s="343" t="n"/>
      <c r="H39" s="343" t="n"/>
      <c r="I39" s="343" t="n"/>
      <c r="J39" s="343" t="n"/>
      <c r="K39" s="343" t="n"/>
      <c r="L39" s="343" t="n"/>
      <c r="M39" s="343" t="n"/>
      <c r="N39" s="343" t="n"/>
      <c r="O39" s="343" t="n"/>
      <c r="P39" s="343" t="n"/>
      <c r="Q39" s="343" t="n"/>
      <c r="R39" s="343" t="n"/>
      <c r="S39" s="91" t="n"/>
    </row>
    <row r="40">
      <c r="B40" s="131" t="n"/>
      <c r="F40" s="343" t="n"/>
      <c r="G40" s="343" t="n"/>
      <c r="H40" s="343" t="n"/>
      <c r="I40" s="343" t="n"/>
      <c r="J40" s="343" t="n"/>
      <c r="K40" s="343" t="n"/>
      <c r="L40" s="343" t="n"/>
      <c r="M40" s="343" t="n"/>
      <c r="N40" s="343" t="n"/>
      <c r="O40" s="343" t="n"/>
      <c r="P40" s="343" t="n"/>
      <c r="Q40" s="343" t="n"/>
      <c r="R40" s="343" t="n"/>
      <c r="S40" s="91" t="n"/>
    </row>
    <row r="41">
      <c r="B41" s="131" t="n"/>
      <c r="C41" s="8" t="inlineStr">
        <is>
          <t>EBITDA</t>
        </is>
      </c>
      <c r="D41" s="8" t="n"/>
      <c r="E41" s="320" t="inlineStr">
        <is>
          <t>€m</t>
        </is>
      </c>
      <c r="F41" s="352">
        <f>+F$28-F$36-F$33</f>
        <v/>
      </c>
      <c r="G41" s="352">
        <f>+G$28-G$36-G$33</f>
        <v/>
      </c>
      <c r="H41" s="352">
        <f>+H$28-H$36-H$33</f>
        <v/>
      </c>
      <c r="I41" s="353">
        <f>+I$28-I$36-I$33</f>
        <v/>
      </c>
      <c r="J41" s="353">
        <f>+J$28-J$36-J$33</f>
        <v/>
      </c>
      <c r="K41" s="352">
        <f>+K$28-K$36-K$33</f>
        <v/>
      </c>
      <c r="L41" s="352">
        <f>+L$28-L$36-L$33</f>
        <v/>
      </c>
      <c r="M41" s="352">
        <f>+M$28-M$36-M$33</f>
        <v/>
      </c>
      <c r="N41" s="352">
        <f>+N$28-N$36-N$33</f>
        <v/>
      </c>
      <c r="O41" s="352">
        <f>+O$28-O$36-O$33</f>
        <v/>
      </c>
      <c r="P41" s="352">
        <f>+P$28-P$36-P$33</f>
        <v/>
      </c>
      <c r="Q41" s="352">
        <f>+Q$28-Q$36-Q$33</f>
        <v/>
      </c>
      <c r="R41" s="352">
        <f>+R$28-R$36-R$33</f>
        <v/>
      </c>
      <c r="S41" s="91" t="n"/>
    </row>
    <row r="42">
      <c r="B42" s="131" t="n"/>
      <c r="C42" s="248" t="inlineStr">
        <is>
          <t>EBITDA Margin</t>
        </is>
      </c>
      <c r="D42" s="246" t="n"/>
      <c r="E42" s="313" t="inlineStr">
        <is>
          <t>%</t>
        </is>
      </c>
      <c r="F42" s="359">
        <f>+F41/F28</f>
        <v/>
      </c>
      <c r="G42" s="359">
        <f>+G41/G28</f>
        <v/>
      </c>
      <c r="H42" s="359">
        <f>+H41/H28</f>
        <v/>
      </c>
      <c r="I42" s="359">
        <f>+I41/I28</f>
        <v/>
      </c>
      <c r="J42" s="359">
        <f>+J41/J28</f>
        <v/>
      </c>
      <c r="K42" s="359">
        <f>+K41/K28</f>
        <v/>
      </c>
      <c r="L42" s="359">
        <f>+L41/L28</f>
        <v/>
      </c>
      <c r="M42" s="359">
        <f>+M41/M28</f>
        <v/>
      </c>
      <c r="N42" s="359">
        <f>+N41/N28</f>
        <v/>
      </c>
      <c r="O42" s="359">
        <f>+O41/O28</f>
        <v/>
      </c>
      <c r="P42" s="359">
        <f>+P41/P28</f>
        <v/>
      </c>
      <c r="Q42" s="359">
        <f>+Q41/Q28</f>
        <v/>
      </c>
      <c r="R42" s="359">
        <f>+R41/R28</f>
        <v/>
      </c>
      <c r="S42" s="91" t="n"/>
    </row>
    <row r="43">
      <c r="B43" s="131" t="n"/>
      <c r="C43" s="8" t="inlineStr">
        <is>
          <t>Ajusted EBITDA</t>
        </is>
      </c>
      <c r="D43" s="8" t="n"/>
      <c r="E43" s="279" t="inlineStr">
        <is>
          <t>€m</t>
        </is>
      </c>
      <c r="F43" s="352">
        <f>F41+(F30-F28)*F42</f>
        <v/>
      </c>
      <c r="G43" s="352">
        <f>G41+(G30-G28)*G42</f>
        <v/>
      </c>
      <c r="H43" s="352">
        <f>H41+(H30-H28)*H42</f>
        <v/>
      </c>
      <c r="I43" s="353">
        <f>I41+(I30-I28)*I42</f>
        <v/>
      </c>
      <c r="J43" s="353">
        <f>J41+(J30-J28)*J42</f>
        <v/>
      </c>
      <c r="K43" s="352">
        <f>K41+(K30-K28)*K42</f>
        <v/>
      </c>
      <c r="L43" s="352">
        <f>L41+(L30-L28)*L42</f>
        <v/>
      </c>
      <c r="M43" s="352">
        <f>M41+(M30-M28)*M42</f>
        <v/>
      </c>
      <c r="N43" s="352">
        <f>N41+(N30-N28)*N42</f>
        <v/>
      </c>
      <c r="O43" s="352">
        <f>O41+(O30-O28)*O42</f>
        <v/>
      </c>
      <c r="P43" s="352">
        <f>P41+(P30-P28)*P42</f>
        <v/>
      </c>
      <c r="Q43" s="352">
        <f>Q41+(Q30-Q28)*Q42</f>
        <v/>
      </c>
      <c r="R43" s="352">
        <f>R41+(R30-R28)*R42</f>
        <v/>
      </c>
      <c r="S43" s="91" t="n"/>
    </row>
    <row r="44">
      <c r="B44" s="131" t="n"/>
      <c r="C44" s="248" t="inlineStr">
        <is>
          <t>Adjusted EBITDA Margin</t>
        </is>
      </c>
      <c r="D44" s="246" t="n"/>
      <c r="E44" s="280" t="inlineStr">
        <is>
          <t>%</t>
        </is>
      </c>
      <c r="F44" s="359">
        <f>+F43/F30</f>
        <v/>
      </c>
      <c r="G44" s="359">
        <f>+G43/G30</f>
        <v/>
      </c>
      <c r="H44" s="359">
        <f>+H43/H30</f>
        <v/>
      </c>
      <c r="I44" s="359">
        <f>+I43/I30</f>
        <v/>
      </c>
      <c r="J44" s="359">
        <f>+J43/J30</f>
        <v/>
      </c>
      <c r="K44" s="359">
        <f>+K43/K30</f>
        <v/>
      </c>
      <c r="L44" s="359">
        <f>+L43/L30</f>
        <v/>
      </c>
      <c r="M44" s="359">
        <f>+M43/M30</f>
        <v/>
      </c>
      <c r="N44" s="359">
        <f>+N43/N30</f>
        <v/>
      </c>
      <c r="O44" s="359">
        <f>+O43/O30</f>
        <v/>
      </c>
      <c r="P44" s="359">
        <f>+P43/P30</f>
        <v/>
      </c>
      <c r="Q44" s="359">
        <f>+Q43/Q30</f>
        <v/>
      </c>
      <c r="R44" s="359">
        <f>+R43/R30</f>
        <v/>
      </c>
      <c r="S44" s="91" t="n"/>
    </row>
    <row r="45">
      <c r="B45" s="89" t="n"/>
      <c r="F45" s="92" t="n"/>
      <c r="G45" s="351" t="n"/>
      <c r="H45" s="351" t="n"/>
      <c r="I45" s="360" t="n"/>
      <c r="J45" s="360" t="n"/>
      <c r="K45" s="360" t="n"/>
      <c r="L45" s="360" t="n"/>
      <c r="M45" s="360" t="n"/>
      <c r="N45" s="360" t="n"/>
      <c r="O45" s="360" t="n"/>
      <c r="P45" s="360" t="n"/>
      <c r="Q45" s="360" t="n"/>
      <c r="R45" s="360" t="n"/>
      <c r="S45" s="91" t="n"/>
    </row>
    <row r="46">
      <c r="B46" s="89" t="n"/>
      <c r="C46" s="74" t="inlineStr">
        <is>
          <t>Interest</t>
        </is>
      </c>
      <c r="E46" s="114" t="inlineStr">
        <is>
          <t>€m</t>
        </is>
      </c>
      <c r="F46" s="356" t="n"/>
      <c r="G46" s="356" t="n"/>
      <c r="H46" s="356" t="n"/>
      <c r="I46" s="361">
        <f>$D$61*($D$62+$D$63)</f>
        <v/>
      </c>
      <c r="J46" s="362">
        <f>$D$61*($D$62+$D$63)</f>
        <v/>
      </c>
      <c r="K46" s="362">
        <f>$D$61*($D$62+$D$63)</f>
        <v/>
      </c>
      <c r="L46" s="362">
        <f>$D$61*($D$62+$D$63)</f>
        <v/>
      </c>
      <c r="M46" s="362">
        <f>$D$61*($D$62+$D$63)</f>
        <v/>
      </c>
      <c r="N46" s="362">
        <f>$D$61*($D$62+$D$63)</f>
        <v/>
      </c>
      <c r="O46" s="362">
        <f>$D$61*($D$62+$D$63)</f>
        <v/>
      </c>
      <c r="P46" s="362">
        <f>$D$61*($D$62+$D$63)</f>
        <v/>
      </c>
      <c r="Q46" s="362">
        <f>$D$61*($D$62+$D$63)</f>
        <v/>
      </c>
      <c r="R46" s="362">
        <f>$D$61*($D$62+$D$63)</f>
        <v/>
      </c>
      <c r="S46" s="91" t="n"/>
    </row>
    <row r="47">
      <c r="B47" s="89" t="n"/>
      <c r="F47" s="363" t="n"/>
      <c r="G47" s="363" t="n"/>
      <c r="H47" s="363" t="n"/>
      <c r="I47" s="364" t="n"/>
      <c r="J47" s="364" t="n"/>
      <c r="K47" s="364" t="n"/>
      <c r="L47" s="364" t="n"/>
      <c r="M47" s="364" t="n"/>
      <c r="N47" s="364" t="n"/>
      <c r="O47" s="364" t="n"/>
      <c r="P47" s="364" t="n"/>
      <c r="Q47" s="364" t="n"/>
      <c r="R47" s="364" t="n"/>
      <c r="S47" s="91" t="n"/>
      <c r="V47" s="103" t="n"/>
      <c r="W47" s="103" t="n"/>
    </row>
    <row r="48">
      <c r="B48" s="89" t="n"/>
      <c r="C48" s="74" t="inlineStr">
        <is>
          <t>D&amp;A</t>
        </is>
      </c>
      <c r="E48" s="114" t="inlineStr">
        <is>
          <t>€m</t>
        </is>
      </c>
      <c r="F48" s="365" t="n"/>
      <c r="G48" s="365" t="n"/>
      <c r="H48" s="365" t="n"/>
      <c r="I48" s="366" t="n">
        <v>41.7</v>
      </c>
      <c r="J48" s="366" t="n">
        <v>42.5</v>
      </c>
      <c r="K48" s="366" t="n">
        <v>43.3</v>
      </c>
      <c r="L48" s="366" t="n">
        <v>44.2</v>
      </c>
      <c r="M48" s="366" t="n">
        <v>45</v>
      </c>
      <c r="N48" s="366" t="n">
        <v>45.9</v>
      </c>
      <c r="O48" s="366" t="n">
        <v>46.8</v>
      </c>
      <c r="P48" s="366" t="n">
        <v>47.8</v>
      </c>
      <c r="Q48" s="366" t="n">
        <v>48.7</v>
      </c>
      <c r="R48" s="367" t="n">
        <v>49.7</v>
      </c>
      <c r="S48" s="91" t="n"/>
    </row>
    <row r="49">
      <c r="B49" s="89" t="n"/>
      <c r="C49" s="137" t="n"/>
      <c r="D49" s="137" t="n"/>
      <c r="E49" s="137" t="n"/>
      <c r="F49" s="368" t="n"/>
      <c r="G49" s="368" t="n"/>
      <c r="H49" s="368" t="n"/>
      <c r="I49" s="138" t="n"/>
      <c r="J49" s="138" t="n"/>
      <c r="K49" s="138" t="n"/>
      <c r="L49" s="138" t="n"/>
      <c r="M49" s="138" t="n"/>
      <c r="N49" s="369" t="n"/>
      <c r="O49" s="369" t="n"/>
      <c r="P49" s="369" t="n"/>
      <c r="Q49" s="369" t="n"/>
      <c r="R49" s="369" t="n"/>
      <c r="S49" s="91" t="n"/>
    </row>
    <row r="50">
      <c r="B50" s="89" t="n"/>
      <c r="C50" s="140" t="inlineStr">
        <is>
          <t>Earnings Before Tax (EBT)</t>
        </is>
      </c>
      <c r="D50" s="140" t="n"/>
      <c r="E50" s="121" t="inlineStr">
        <is>
          <t>€m</t>
        </is>
      </c>
      <c r="F50" s="370">
        <f>+F43-F46-F48</f>
        <v/>
      </c>
      <c r="G50" s="370">
        <f>+G43-G46-G48</f>
        <v/>
      </c>
      <c r="H50" s="370">
        <f>+H43-H46-H48</f>
        <v/>
      </c>
      <c r="I50" s="370">
        <f>+I43-I46-I48</f>
        <v/>
      </c>
      <c r="J50" s="370">
        <f>+J43-J46-J48</f>
        <v/>
      </c>
      <c r="K50" s="370">
        <f>+K43-K46-K48</f>
        <v/>
      </c>
      <c r="L50" s="370">
        <f>+L43-L46-L48</f>
        <v/>
      </c>
      <c r="M50" s="370">
        <f>+M43-M46-M48</f>
        <v/>
      </c>
      <c r="N50" s="370">
        <f>+N43-N46-N48</f>
        <v/>
      </c>
      <c r="O50" s="370">
        <f>+O43-O46-O48</f>
        <v/>
      </c>
      <c r="P50" s="370">
        <f>+P43-P46-P48</f>
        <v/>
      </c>
      <c r="Q50" s="370">
        <f>+Q43-Q46-Q48</f>
        <v/>
      </c>
      <c r="R50" s="370">
        <f>+R43-R46-R48</f>
        <v/>
      </c>
      <c r="S50" s="91" t="n"/>
    </row>
    <row r="51">
      <c r="B51" s="89" t="n"/>
      <c r="C51" s="11" t="n"/>
      <c r="D51" s="11" t="n"/>
      <c r="E51" s="11" t="n"/>
      <c r="F51" s="371" t="n"/>
      <c r="G51" s="371" t="n"/>
      <c r="H51" s="371" t="n"/>
      <c r="I51" s="372" t="n"/>
      <c r="J51" s="372" t="n"/>
      <c r="K51" s="372" t="n"/>
      <c r="L51" s="372" t="n"/>
      <c r="M51" s="372" t="n"/>
      <c r="N51" s="372" t="n"/>
      <c r="O51" s="372" t="n"/>
      <c r="P51" s="372" t="n"/>
      <c r="Q51" s="372" t="n"/>
      <c r="R51" s="372" t="n"/>
      <c r="S51" s="91" t="n"/>
    </row>
    <row r="52" ht="18" customHeight="1">
      <c r="B52" s="89" t="n"/>
      <c r="C52" s="74" t="inlineStr">
        <is>
          <t>Tax   (Enter Italian Corporate Tax Rate)</t>
        </is>
      </c>
      <c r="D52" s="373" t="n">
        <v>0.24</v>
      </c>
      <c r="E52" s="114" t="inlineStr">
        <is>
          <t>€m</t>
        </is>
      </c>
      <c r="F52" s="374" t="n"/>
      <c r="G52" s="374" t="n"/>
      <c r="H52" s="374" t="n"/>
      <c r="I52" s="375">
        <f>I50*$D$52</f>
        <v/>
      </c>
      <c r="J52" s="375">
        <f>J50*$D$52</f>
        <v/>
      </c>
      <c r="K52" s="375">
        <f>K50*$D$52</f>
        <v/>
      </c>
      <c r="L52" s="375">
        <f>L50*$D$52</f>
        <v/>
      </c>
      <c r="M52" s="375">
        <f>M50*$D$52</f>
        <v/>
      </c>
      <c r="N52" s="375">
        <f>N50*$D$52</f>
        <v/>
      </c>
      <c r="O52" s="375">
        <f>O50*$D$52</f>
        <v/>
      </c>
      <c r="P52" s="375">
        <f>P50*$D$52</f>
        <v/>
      </c>
      <c r="Q52" s="375">
        <f>Q50*$D$52</f>
        <v/>
      </c>
      <c r="R52" s="375">
        <f>R50*$D$52</f>
        <v/>
      </c>
      <c r="S52" s="91" t="n"/>
      <c r="T52" s="145" t="n"/>
    </row>
    <row r="53">
      <c r="B53" s="89" t="n"/>
      <c r="C53" s="137" t="n"/>
      <c r="D53" s="137" t="n"/>
      <c r="E53" s="137" t="n"/>
      <c r="F53" s="376" t="n"/>
      <c r="G53" s="376" t="n"/>
      <c r="H53" s="376" t="n"/>
      <c r="I53" s="377" t="n"/>
      <c r="J53" s="377" t="n"/>
      <c r="K53" s="377" t="n"/>
      <c r="L53" s="377" t="n"/>
      <c r="M53" s="377" t="n"/>
      <c r="N53" s="377" t="n"/>
      <c r="O53" s="377" t="n"/>
      <c r="P53" s="377" t="n"/>
      <c r="Q53" s="377" t="n"/>
      <c r="R53" s="377" t="n"/>
      <c r="S53" s="91" t="n"/>
    </row>
    <row r="54">
      <c r="B54" s="89" t="n"/>
      <c r="C54" s="140" t="inlineStr">
        <is>
          <t>Net Income</t>
        </is>
      </c>
      <c r="D54" s="140" t="n"/>
      <c r="E54" s="121" t="inlineStr">
        <is>
          <t>€m</t>
        </is>
      </c>
      <c r="F54" s="378" t="n"/>
      <c r="G54" s="378" t="n"/>
      <c r="H54" s="378" t="n"/>
      <c r="I54" s="370">
        <f>I50-I52</f>
        <v/>
      </c>
      <c r="J54" s="370">
        <f>J50-J52</f>
        <v/>
      </c>
      <c r="K54" s="370">
        <f>K50-K52</f>
        <v/>
      </c>
      <c r="L54" s="370">
        <f>L50-L52</f>
        <v/>
      </c>
      <c r="M54" s="370">
        <f>M50-M52</f>
        <v/>
      </c>
      <c r="N54" s="370">
        <f>N50-N52</f>
        <v/>
      </c>
      <c r="O54" s="370">
        <f>O50-O52</f>
        <v/>
      </c>
      <c r="P54" s="370">
        <f>P50-P52</f>
        <v/>
      </c>
      <c r="Q54" s="370">
        <f>Q50-Q52</f>
        <v/>
      </c>
      <c r="R54" s="370">
        <f>R50-R52</f>
        <v/>
      </c>
      <c r="S54" s="91" t="n"/>
    </row>
    <row r="55">
      <c r="B55" s="147" t="n"/>
      <c r="C55" s="245" t="inlineStr">
        <is>
          <t>Net Income Margin</t>
        </is>
      </c>
      <c r="D55" s="36" t="n"/>
      <c r="E55" s="278" t="inlineStr">
        <is>
          <t>%</t>
        </is>
      </c>
      <c r="F55" s="379" t="n"/>
      <c r="G55" s="379" t="n"/>
      <c r="H55" s="379" t="n"/>
      <c r="I55" s="244">
        <f>I54/I28</f>
        <v/>
      </c>
      <c r="J55" s="244">
        <f>J54/J28</f>
        <v/>
      </c>
      <c r="K55" s="244">
        <f>K54/K28</f>
        <v/>
      </c>
      <c r="L55" s="244">
        <f>L54/L28</f>
        <v/>
      </c>
      <c r="M55" s="244">
        <f>M54/M28</f>
        <v/>
      </c>
      <c r="N55" s="244">
        <f>N54/N28</f>
        <v/>
      </c>
      <c r="O55" s="244">
        <f>O54/O28</f>
        <v/>
      </c>
      <c r="P55" s="244">
        <f>P54/P28</f>
        <v/>
      </c>
      <c r="Q55" s="244">
        <f>Q54/Q28</f>
        <v/>
      </c>
      <c r="R55" s="244">
        <f>R54/R28</f>
        <v/>
      </c>
      <c r="S55" s="150" t="n"/>
    </row>
    <row r="56">
      <c r="C56" s="11" t="n"/>
      <c r="D56" s="11" t="n"/>
      <c r="E56" s="123" t="n"/>
      <c r="F56" s="380" t="n"/>
      <c r="G56" s="380" t="n"/>
      <c r="H56" s="380" t="n"/>
      <c r="I56" s="380" t="n"/>
      <c r="J56" s="380" t="n"/>
      <c r="K56" s="380" t="n"/>
      <c r="L56" s="380" t="n"/>
      <c r="M56" s="380" t="n"/>
      <c r="N56" s="380" t="n"/>
      <c r="O56" s="380" t="n"/>
      <c r="P56" s="380" t="n"/>
      <c r="Q56" s="380" t="n"/>
      <c r="R56" s="380" t="n"/>
    </row>
    <row r="57">
      <c r="B57" s="152" t="n"/>
      <c r="C57" s="140" t="n"/>
      <c r="D57" s="140" t="n"/>
      <c r="E57" s="148" t="n"/>
      <c r="F57" s="381" t="n"/>
      <c r="G57" s="381" t="n"/>
      <c r="H57" s="381" t="n"/>
      <c r="I57" s="381" t="n"/>
      <c r="J57" s="381" t="n"/>
      <c r="K57" s="381" t="n"/>
      <c r="L57" s="381" t="n"/>
      <c r="M57" s="381" t="n"/>
      <c r="N57" s="381" t="n"/>
      <c r="O57" s="381" t="n"/>
      <c r="P57" s="381" t="n"/>
      <c r="Q57" s="381" t="n"/>
      <c r="R57" s="381" t="n"/>
      <c r="S57" s="152" t="n"/>
    </row>
    <row r="58">
      <c r="B58" s="89" t="n"/>
      <c r="F58" s="382" t="n"/>
      <c r="G58" s="382" t="n"/>
      <c r="H58" s="382" t="n"/>
      <c r="I58" s="364" t="n"/>
      <c r="J58" s="364" t="n"/>
      <c r="K58" s="364" t="n"/>
      <c r="L58" s="364" t="n"/>
      <c r="M58" s="364" t="n"/>
      <c r="N58" s="364" t="n"/>
      <c r="O58" s="364" t="n"/>
      <c r="P58" s="364" t="n"/>
      <c r="Q58" s="364" t="n"/>
      <c r="R58" s="364" t="n"/>
      <c r="S58" s="91" t="n"/>
    </row>
    <row r="59">
      <c r="B59" s="40" t="inlineStr">
        <is>
          <t>1b. DCM Table:</t>
        </is>
      </c>
      <c r="C59" s="29" t="n"/>
      <c r="D59" s="29" t="n"/>
      <c r="E59" s="29" t="n"/>
      <c r="F59" s="29" t="n"/>
      <c r="G59" s="51" t="n"/>
      <c r="H59" s="29" t="n"/>
      <c r="I59" s="29" t="n"/>
      <c r="J59" s="29" t="n"/>
      <c r="K59" s="29" t="n"/>
      <c r="L59" s="29" t="n"/>
      <c r="M59" s="29" t="n"/>
      <c r="N59" s="29" t="n"/>
      <c r="O59" s="29" t="n"/>
      <c r="P59" s="29" t="n"/>
      <c r="Q59" s="29" t="n"/>
      <c r="R59" s="29" t="n"/>
      <c r="S59" s="96" t="n"/>
    </row>
    <row r="60">
      <c r="B60" s="24" t="n"/>
      <c r="C60" s="10" t="n"/>
      <c r="D60" s="10" t="n"/>
      <c r="E60" s="10" t="n"/>
      <c r="F60" s="10" t="n"/>
      <c r="G60" s="17" t="n"/>
      <c r="H60" s="11" t="n"/>
      <c r="I60" s="11" t="n"/>
      <c r="J60" s="11" t="n"/>
      <c r="K60" s="11" t="n"/>
      <c r="L60" s="11" t="n"/>
      <c r="M60" s="11" t="n"/>
      <c r="N60" s="10" t="n"/>
      <c r="O60" s="10" t="n"/>
      <c r="P60" s="10" t="n"/>
      <c r="Q60" s="10" t="n"/>
      <c r="S60" s="91" t="n"/>
    </row>
    <row r="61">
      <c r="B61" s="24" t="n"/>
      <c r="C61" s="329" t="inlineStr">
        <is>
          <t>Debt (Term Loan B) Amount</t>
        </is>
      </c>
      <c r="D61" s="28" t="n">
        <v>756.1</v>
      </c>
      <c r="E61" s="114" t="inlineStr">
        <is>
          <t>€m</t>
        </is>
      </c>
      <c r="F61" s="10" t="n"/>
      <c r="G61" s="17" t="n"/>
      <c r="H61" s="11" t="n"/>
      <c r="I61" s="11" t="n"/>
      <c r="J61" s="11" t="n"/>
      <c r="K61" s="11" t="n"/>
      <c r="L61" s="11" t="n"/>
      <c r="M61" s="11" t="n"/>
      <c r="N61" s="10" t="n"/>
      <c r="O61" s="10" t="n"/>
      <c r="P61" s="10" t="n"/>
      <c r="Q61" s="10" t="n"/>
      <c r="S61" s="91" t="n"/>
    </row>
    <row r="62">
      <c r="B62" s="89" t="n"/>
      <c r="C62" s="329" t="inlineStr">
        <is>
          <t>TLB Interest Premium</t>
        </is>
      </c>
      <c r="D62" s="154" t="n">
        <v>0.036</v>
      </c>
      <c r="E62" s="103" t="inlineStr">
        <is>
          <t>%</t>
        </is>
      </c>
      <c r="G62" s="383" t="n"/>
      <c r="H62" s="384" t="n"/>
      <c r="J62" s="11" t="n"/>
      <c r="K62" s="52" t="n"/>
      <c r="L62" s="52" t="n"/>
      <c r="M62" s="52" t="n"/>
      <c r="N62" s="17" t="n"/>
      <c r="S62" s="91" t="n"/>
    </row>
    <row r="63">
      <c r="B63" s="61" t="n"/>
      <c r="C63" s="329" t="inlineStr">
        <is>
          <t>EURIBOR</t>
        </is>
      </c>
      <c r="D63" s="385" t="n">
        <v>0.02218</v>
      </c>
      <c r="E63" s="103" t="inlineStr">
        <is>
          <t>%</t>
        </is>
      </c>
      <c r="G63" s="17" t="n"/>
      <c r="H63" s="11" t="n"/>
      <c r="I63" s="11" t="n"/>
      <c r="J63" s="11" t="inlineStr">
        <is>
          <t xml:space="preserve">                 </t>
        </is>
      </c>
      <c r="K63" s="55" t="n"/>
      <c r="L63" s="55" t="n"/>
      <c r="M63" s="55" t="n"/>
      <c r="N63" s="158" t="n"/>
      <c r="S63" s="91" t="n"/>
      <c r="T63" s="159" t="n"/>
    </row>
    <row r="64">
      <c r="B64" s="61" t="n"/>
      <c r="C64" s="329" t="inlineStr">
        <is>
          <t>Debt/EBITDA</t>
        </is>
      </c>
      <c r="D64" s="220">
        <f>D61/H43</f>
        <v/>
      </c>
      <c r="E64" s="103" t="inlineStr">
        <is>
          <t>x</t>
        </is>
      </c>
      <c r="G64" s="17" t="n"/>
      <c r="H64" s="11" t="n"/>
      <c r="I64" s="11" t="n"/>
      <c r="J64" s="11" t="n"/>
      <c r="K64" s="55" t="n"/>
      <c r="L64" s="55" t="n"/>
      <c r="M64" s="55" t="n"/>
      <c r="N64" s="158" t="n"/>
      <c r="S64" s="91" t="n"/>
      <c r="T64" s="159" t="n"/>
    </row>
    <row r="65">
      <c r="B65" s="160" t="n"/>
      <c r="C65" s="306" t="n"/>
      <c r="D65" s="306" t="n"/>
      <c r="E65" s="152" t="n"/>
      <c r="F65" s="152" t="n"/>
      <c r="G65" s="161" t="n"/>
      <c r="H65" s="152" t="n"/>
      <c r="I65" s="162" t="n"/>
      <c r="J65" s="163" t="n"/>
      <c r="K65" s="164" t="n"/>
      <c r="L65" s="164" t="n"/>
      <c r="M65" s="164" t="n"/>
      <c r="N65" s="164" t="n"/>
      <c r="O65" s="152" t="n"/>
      <c r="P65" s="152" t="n"/>
      <c r="Q65" s="152" t="n"/>
      <c r="R65" s="152" t="n"/>
      <c r="S65" s="150" t="n"/>
    </row>
    <row r="66">
      <c r="B66" s="65" t="n"/>
      <c r="G66" s="103" t="n"/>
      <c r="I66" s="165" t="n"/>
      <c r="J66" s="166" t="n"/>
      <c r="K66" s="158" t="n"/>
      <c r="L66" s="158" t="n"/>
      <c r="M66" s="158" t="n"/>
      <c r="N66" s="158" t="n"/>
    </row>
    <row r="67">
      <c r="B67" s="37" t="n"/>
      <c r="E67" s="152" t="n"/>
      <c r="F67" s="152" t="n"/>
      <c r="G67" s="161" t="n"/>
      <c r="H67" s="152" t="n"/>
      <c r="I67" s="162" t="n"/>
      <c r="J67" s="163" t="n"/>
      <c r="K67" s="164" t="n"/>
      <c r="L67" s="164" t="n"/>
      <c r="M67" s="164" t="n"/>
      <c r="N67" s="164" t="n"/>
      <c r="O67" s="152" t="n"/>
      <c r="P67" s="152" t="n"/>
      <c r="Q67" s="152" t="n"/>
      <c r="R67" s="152" t="n"/>
      <c r="S67" s="152" t="n"/>
    </row>
    <row r="68">
      <c r="B68" s="89" t="n"/>
      <c r="C68" s="307" t="n"/>
      <c r="D68" s="307" t="n"/>
      <c r="G68" s="103" t="n"/>
      <c r="K68" s="17" t="n"/>
      <c r="L68" s="17" t="n"/>
      <c r="M68" s="17" t="n"/>
      <c r="S68" s="91" t="n"/>
    </row>
    <row r="69">
      <c r="B69" s="89" t="n"/>
      <c r="D69" s="386" t="n"/>
      <c r="G69" s="103" t="n"/>
      <c r="K69" s="17" t="n"/>
      <c r="L69" s="17" t="n"/>
      <c r="M69" s="17" t="n"/>
      <c r="S69" s="91" t="n"/>
    </row>
    <row r="70">
      <c r="B70" s="40" t="inlineStr">
        <is>
          <t>1c. Working Capital, Capex, Free Cash Flow &amp; DCF Valuation:</t>
        </is>
      </c>
      <c r="C70" s="29" t="n"/>
      <c r="D70" s="29" t="n"/>
      <c r="E70" s="29" t="n"/>
      <c r="F70" s="29" t="n"/>
      <c r="G70" s="51" t="n"/>
      <c r="H70" s="29" t="n"/>
      <c r="I70" s="29" t="n"/>
      <c r="J70" s="29" t="n"/>
      <c r="K70" s="29" t="n"/>
      <c r="L70" s="29" t="n"/>
      <c r="M70" s="29" t="n"/>
      <c r="N70" s="29" t="n"/>
      <c r="O70" s="29" t="n"/>
      <c r="P70" s="29" t="n"/>
      <c r="Q70" s="29" t="n"/>
      <c r="R70" s="29" t="n"/>
      <c r="S70" s="96" t="n"/>
    </row>
    <row r="71">
      <c r="B71" s="89" t="n"/>
      <c r="F71" s="382" t="n"/>
      <c r="G71" s="382" t="n"/>
      <c r="H71" s="382" t="n"/>
      <c r="I71" s="364" t="n"/>
      <c r="J71" s="364" t="n"/>
      <c r="K71" s="364" t="n"/>
      <c r="L71" s="364" t="n"/>
      <c r="M71" s="364" t="n"/>
      <c r="N71" s="364" t="n"/>
      <c r="O71" s="364" t="n"/>
      <c r="P71" s="364" t="n"/>
      <c r="Q71" s="364" t="n"/>
      <c r="R71" s="364" t="n"/>
      <c r="S71" s="91" t="n"/>
    </row>
    <row r="72">
      <c r="B72" s="89" t="n"/>
      <c r="C72" s="30" t="n"/>
      <c r="D72" s="30" t="n"/>
      <c r="E72" s="30" t="n"/>
      <c r="F72" s="326" t="inlineStr">
        <is>
          <t>Historical</t>
        </is>
      </c>
      <c r="G72" s="340" t="n"/>
      <c r="H72" s="341" t="n"/>
      <c r="I72" s="97" t="inlineStr">
        <is>
          <t>Growth Phase</t>
        </is>
      </c>
      <c r="J72" s="25" t="n"/>
      <c r="K72" s="25" t="n"/>
      <c r="L72" s="25" t="n"/>
      <c r="M72" s="25" t="n"/>
      <c r="N72" s="327" t="inlineStr">
        <is>
          <t>Steady State Phase</t>
        </is>
      </c>
      <c r="O72" s="340" t="n"/>
      <c r="P72" s="340" t="n"/>
      <c r="Q72" s="340" t="n"/>
      <c r="R72" s="340" t="n"/>
      <c r="S72" s="91" t="n"/>
    </row>
    <row r="73">
      <c r="B73" s="89" t="n"/>
      <c r="C73" s="30" t="n"/>
      <c r="D73" s="30" t="n"/>
      <c r="E73" s="30" t="inlineStr">
        <is>
          <t>Units:</t>
        </is>
      </c>
      <c r="F73" s="30" t="n">
        <v>2021</v>
      </c>
      <c r="G73" s="30" t="n">
        <v>2022</v>
      </c>
      <c r="H73" s="27" t="n">
        <v>2023</v>
      </c>
      <c r="I73" s="98" t="n">
        <v>2024</v>
      </c>
      <c r="J73" s="30" t="n">
        <v>2025</v>
      </c>
      <c r="K73" s="30" t="n">
        <v>2026</v>
      </c>
      <c r="L73" s="30" t="n">
        <v>2027</v>
      </c>
      <c r="M73" s="30" t="n">
        <v>2028</v>
      </c>
      <c r="N73" s="99" t="n">
        <v>2029</v>
      </c>
      <c r="O73" s="30" t="n">
        <v>2030</v>
      </c>
      <c r="P73" s="30" t="n">
        <v>2031</v>
      </c>
      <c r="Q73" s="30" t="n">
        <v>2032</v>
      </c>
      <c r="R73" s="30" t="n">
        <v>2033</v>
      </c>
      <c r="S73" s="91" t="n"/>
    </row>
    <row r="74">
      <c r="B74" s="89" t="n"/>
      <c r="F74" s="382" t="n"/>
      <c r="G74" s="382" t="n"/>
      <c r="H74" s="382" t="n"/>
      <c r="I74" s="364" t="n"/>
      <c r="J74" s="364" t="n"/>
      <c r="K74" s="364" t="n"/>
      <c r="L74" s="364" t="n"/>
      <c r="M74" s="364" t="n"/>
      <c r="N74" s="364" t="n"/>
      <c r="O74" s="364" t="n"/>
      <c r="P74" s="364" t="n"/>
      <c r="Q74" s="364" t="n"/>
      <c r="R74" s="364" t="n"/>
      <c r="S74" s="91" t="n"/>
    </row>
    <row r="75">
      <c r="B75" s="89" t="n"/>
      <c r="C75" s="168" t="inlineStr">
        <is>
          <t>Capex:</t>
        </is>
      </c>
      <c r="D75" s="168" t="n"/>
      <c r="E75" s="387" t="n"/>
      <c r="F75" s="382" t="n"/>
      <c r="H75" s="382" t="n"/>
      <c r="I75" s="364" t="n"/>
      <c r="J75" s="364" t="n"/>
      <c r="K75" s="364" t="n"/>
      <c r="L75" s="364" t="n"/>
      <c r="M75" s="364" t="n"/>
      <c r="N75" s="364" t="n"/>
      <c r="O75" s="364" t="n"/>
      <c r="P75" s="364" t="n"/>
      <c r="Q75" s="364" t="n"/>
      <c r="R75" s="364" t="n"/>
      <c r="S75" s="91" t="n"/>
    </row>
    <row r="76">
      <c r="B76" s="89" t="n"/>
      <c r="C76" s="74" t="inlineStr">
        <is>
          <t xml:space="preserve">Growth </t>
        </is>
      </c>
      <c r="E76" s="114" t="inlineStr">
        <is>
          <t>€m</t>
        </is>
      </c>
      <c r="F76" s="356" t="n">
        <v>-2</v>
      </c>
      <c r="G76" s="356">
        <f>-54</f>
        <v/>
      </c>
      <c r="H76" s="356">
        <f>-60</f>
        <v/>
      </c>
      <c r="I76" s="388">
        <f>-'Key Assumptions'!$E$16*(I15-H15)</f>
        <v/>
      </c>
      <c r="J76" s="388">
        <f>-'Key Assumptions'!$E$16*(J15-I15)</f>
        <v/>
      </c>
      <c r="K76" s="388">
        <f>-'Key Assumptions'!$E$16*(K15-J15)</f>
        <v/>
      </c>
      <c r="L76" s="388">
        <f>-'Key Assumptions'!$E$16*(L15-K15)</f>
        <v/>
      </c>
      <c r="M76" s="388">
        <f>-'Key Assumptions'!$E$16*(M15-L15)</f>
        <v/>
      </c>
      <c r="N76" s="389">
        <f>-'Key Assumptions'!$E$16*(N15-M15)</f>
        <v/>
      </c>
      <c r="O76" s="389">
        <f>-'Key Assumptions'!$E$16*(O15-N15)</f>
        <v/>
      </c>
      <c r="P76" s="389">
        <f>-'Key Assumptions'!$E$16*(P15-O15)</f>
        <v/>
      </c>
      <c r="Q76" s="389">
        <f>-'Key Assumptions'!$E$16*(Q15-P15)</f>
        <v/>
      </c>
      <c r="R76" s="389">
        <f>-'Key Assumptions'!$E$16*(R15-Q15)</f>
        <v/>
      </c>
      <c r="S76" s="91" t="n"/>
    </row>
    <row r="77">
      <c r="B77" s="89" t="n"/>
      <c r="C77" s="74" t="inlineStr">
        <is>
          <t>Maintenance</t>
        </is>
      </c>
      <c r="E77" s="114" t="inlineStr">
        <is>
          <t>€m</t>
        </is>
      </c>
      <c r="F77" s="356" t="n">
        <v>-26.7</v>
      </c>
      <c r="G77" s="356" t="n">
        <v>-28.4</v>
      </c>
      <c r="H77" s="356" t="n">
        <v>-31.2</v>
      </c>
      <c r="I77" s="390">
        <f>-'Valuation_15%IRR'!I15*'Key Assumptions'!$E$17</f>
        <v/>
      </c>
      <c r="J77" s="390">
        <f>-'Valuation_15%IRR'!J15*'Key Assumptions'!$E$17</f>
        <v/>
      </c>
      <c r="K77" s="390">
        <f>-'Valuation_15%IRR'!K15*'Key Assumptions'!$E$17</f>
        <v/>
      </c>
      <c r="L77" s="390">
        <f>-'Valuation_15%IRR'!L15*'Key Assumptions'!$E$17</f>
        <v/>
      </c>
      <c r="M77" s="390">
        <f>-'Valuation_15%IRR'!M15*'Key Assumptions'!$E$17</f>
        <v/>
      </c>
      <c r="N77" s="389">
        <f>-'Valuation_15%IRR'!N15*'Key Assumptions'!$E$17</f>
        <v/>
      </c>
      <c r="O77" s="389">
        <f>-'Valuation_15%IRR'!O15*'Key Assumptions'!$E$17</f>
        <v/>
      </c>
      <c r="P77" s="389">
        <f>-'Valuation_15%IRR'!P15*'Key Assumptions'!$E$17</f>
        <v/>
      </c>
      <c r="Q77" s="389">
        <f>-'Valuation_15%IRR'!Q15*'Key Assumptions'!$E$17</f>
        <v/>
      </c>
      <c r="R77" s="389">
        <f>-'Valuation_15%IRR'!R15*'Key Assumptions'!$E$17</f>
        <v/>
      </c>
      <c r="S77" s="91" t="n"/>
      <c r="U77" s="173" t="n"/>
    </row>
    <row r="78">
      <c r="B78" s="89" t="n"/>
      <c r="C78" s="312" t="inlineStr">
        <is>
          <t>Non-Recurring Capex</t>
        </is>
      </c>
      <c r="D78" s="137" t="n"/>
      <c r="E78" s="171" t="inlineStr">
        <is>
          <t>€m</t>
        </is>
      </c>
      <c r="F78" s="391" t="n"/>
      <c r="G78" s="391" t="n"/>
      <c r="H78" s="391" t="n"/>
      <c r="I78" s="392">
        <f>-'Key Assumptions'!$E$18</f>
        <v/>
      </c>
      <c r="J78" s="392" t="n">
        <v>0</v>
      </c>
      <c r="K78" s="392" t="n">
        <v>0</v>
      </c>
      <c r="L78" s="392" t="n">
        <v>0</v>
      </c>
      <c r="M78" s="392" t="n">
        <v>0</v>
      </c>
      <c r="N78" s="392" t="n">
        <v>0</v>
      </c>
      <c r="O78" s="392" t="n">
        <v>0</v>
      </c>
      <c r="P78" s="392" t="n">
        <v>0</v>
      </c>
      <c r="Q78" s="392" t="n">
        <v>0</v>
      </c>
      <c r="R78" s="392" t="n">
        <v>0</v>
      </c>
      <c r="S78" s="91" t="n"/>
      <c r="U78" s="173" t="n"/>
    </row>
    <row r="79">
      <c r="B79" s="89" t="n"/>
      <c r="C79" s="57" t="inlineStr">
        <is>
          <t>Total Capex</t>
        </is>
      </c>
      <c r="D79" s="57" t="n"/>
      <c r="E79" s="174" t="inlineStr">
        <is>
          <t>€m</t>
        </is>
      </c>
      <c r="F79" s="393">
        <f>F76+F77</f>
        <v/>
      </c>
      <c r="G79" s="393">
        <f>G76+G77</f>
        <v/>
      </c>
      <c r="H79" s="393">
        <f>H76+H77</f>
        <v/>
      </c>
      <c r="I79" s="394">
        <f>I76+I77</f>
        <v/>
      </c>
      <c r="J79" s="394">
        <f>J76+J77</f>
        <v/>
      </c>
      <c r="K79" s="394">
        <f>K76+K77+K78</f>
        <v/>
      </c>
      <c r="L79" s="394">
        <f>L76+L77+L78</f>
        <v/>
      </c>
      <c r="M79" s="394">
        <f>M76+M77+M78</f>
        <v/>
      </c>
      <c r="N79" s="394">
        <f>N76+N77+N78</f>
        <v/>
      </c>
      <c r="O79" s="394">
        <f>O76+O77+O78</f>
        <v/>
      </c>
      <c r="P79" s="394">
        <f>P76+P77+P78</f>
        <v/>
      </c>
      <c r="Q79" s="394">
        <f>Q76+Q77+Q78</f>
        <v/>
      </c>
      <c r="R79" s="394">
        <f>R76+R77+R78</f>
        <v/>
      </c>
      <c r="S79" s="91" t="n"/>
      <c r="U79" s="11" t="n"/>
    </row>
    <row r="80">
      <c r="B80" s="89" t="n"/>
      <c r="F80" s="395" t="n"/>
      <c r="G80" s="395" t="n"/>
      <c r="H80" s="177" t="n"/>
      <c r="I80" s="396" t="n"/>
      <c r="J80" s="364" t="n"/>
      <c r="K80" s="364" t="n"/>
      <c r="L80" s="364" t="n"/>
      <c r="M80" s="364" t="n"/>
      <c r="N80" s="364" t="n"/>
      <c r="O80" s="364" t="n"/>
      <c r="P80" s="364" t="n"/>
      <c r="Q80" s="364" t="n"/>
      <c r="R80" s="364" t="n"/>
      <c r="S80" s="91" t="n"/>
    </row>
    <row r="81">
      <c r="B81" s="89" t="n"/>
      <c r="C81" s="74" t="inlineStr">
        <is>
          <t>Change in Working Capital</t>
        </is>
      </c>
      <c r="E81" s="114" t="inlineStr">
        <is>
          <t>€m</t>
        </is>
      </c>
      <c r="F81" s="356" t="n">
        <v>-8.140000000000001</v>
      </c>
      <c r="G81" s="356" t="n">
        <v>-8.390000000000001</v>
      </c>
      <c r="H81" s="356" t="n">
        <v>-8.369999999999999</v>
      </c>
      <c r="I81" s="397">
        <f>'Key Assumptions'!E20</f>
        <v/>
      </c>
      <c r="J81" s="397">
        <f>'Valuation_15%IRR'!I81-'Key Assumptions'!$E$21</f>
        <v/>
      </c>
      <c r="K81" s="397">
        <f>'Valuation_15%IRR'!J81-'Key Assumptions'!$E$21</f>
        <v/>
      </c>
      <c r="L81" s="397">
        <f>'Valuation_15%IRR'!K81-'Key Assumptions'!$E$21</f>
        <v/>
      </c>
      <c r="M81" s="397">
        <f>'Valuation_15%IRR'!L81-'Key Assumptions'!$E$21</f>
        <v/>
      </c>
      <c r="N81" s="398">
        <f>'Key Assumptions'!$E$22</f>
        <v/>
      </c>
      <c r="O81" s="398">
        <f>'Key Assumptions'!$E$22</f>
        <v/>
      </c>
      <c r="P81" s="398">
        <f>'Key Assumptions'!$E$22</f>
        <v/>
      </c>
      <c r="Q81" s="398">
        <f>'Key Assumptions'!$E$22</f>
        <v/>
      </c>
      <c r="R81" s="398">
        <f>'Key Assumptions'!$E$22</f>
        <v/>
      </c>
      <c r="S81" s="91" t="n"/>
    </row>
    <row r="82">
      <c r="B82" s="315" t="n"/>
      <c r="C82" s="316" t="n"/>
      <c r="D82" s="291" t="n"/>
      <c r="E82" s="291" t="n"/>
      <c r="F82" s="317" t="n"/>
      <c r="G82" s="399" t="n"/>
      <c r="H82" s="399" t="n"/>
      <c r="I82" s="399" t="n"/>
      <c r="J82" s="399" t="n"/>
      <c r="K82" s="399" t="n"/>
      <c r="L82" s="399" t="n"/>
      <c r="M82" s="399" t="n"/>
      <c r="N82" s="399" t="n"/>
      <c r="O82" s="399" t="n"/>
      <c r="P82" s="399" t="n"/>
      <c r="Q82" s="399" t="n"/>
      <c r="R82" s="399" t="n"/>
      <c r="S82" s="319" t="n"/>
    </row>
    <row r="83">
      <c r="F83" s="180" t="n"/>
      <c r="G83" s="400" t="n"/>
      <c r="H83" s="400" t="n"/>
      <c r="I83" s="400" t="n"/>
      <c r="J83" s="400" t="n"/>
      <c r="K83" s="400" t="n"/>
      <c r="L83" s="400" t="n"/>
      <c r="M83" s="400" t="n"/>
      <c r="N83" s="400" t="n"/>
      <c r="O83" s="400" t="n"/>
      <c r="P83" s="400" t="n"/>
      <c r="Q83" s="400" t="n"/>
      <c r="R83" s="400" t="n"/>
      <c r="T83" s="286" t="n"/>
    </row>
    <row r="84">
      <c r="F84" s="180" t="n"/>
      <c r="G84" s="400" t="n"/>
      <c r="H84" s="400" t="n"/>
      <c r="I84" s="400" t="n"/>
      <c r="J84" s="400" t="n"/>
      <c r="K84" s="400" t="n"/>
      <c r="L84" s="400" t="n"/>
      <c r="M84" s="400" t="n"/>
      <c r="N84" s="400" t="n"/>
      <c r="O84" s="400" t="n"/>
      <c r="P84" s="400" t="n"/>
      <c r="Q84" s="400" t="n"/>
      <c r="R84" s="400" t="n"/>
      <c r="T84" s="207" t="n"/>
    </row>
    <row r="85">
      <c r="B85" s="272" t="n"/>
      <c r="C85" s="273" t="n"/>
      <c r="D85" s="273" t="n"/>
      <c r="E85" s="273" t="n"/>
      <c r="F85" s="274" t="n"/>
      <c r="G85" s="401" t="n"/>
      <c r="H85" s="401" t="n"/>
      <c r="I85" s="401" t="n"/>
      <c r="J85" s="401" t="n"/>
      <c r="K85" s="401" t="n"/>
      <c r="L85" s="401" t="n"/>
      <c r="M85" s="401" t="n"/>
      <c r="N85" s="401" t="n"/>
      <c r="O85" s="401" t="n"/>
      <c r="P85" s="401" t="n"/>
      <c r="Q85" s="401" t="n"/>
      <c r="R85" s="401" t="n"/>
      <c r="S85" s="276" t="n"/>
    </row>
    <row r="86">
      <c r="B86" s="89" t="n"/>
      <c r="F86" s="180" t="n"/>
      <c r="G86" s="400" t="n"/>
      <c r="H86" s="400" t="n"/>
      <c r="I86" s="400" t="n"/>
      <c r="J86" s="400" t="n"/>
      <c r="K86" s="400" t="n"/>
      <c r="L86" s="400" t="n"/>
      <c r="M86" s="400" t="n"/>
      <c r="N86" s="400" t="n"/>
      <c r="O86" s="400" t="n"/>
      <c r="P86" s="400" t="n"/>
      <c r="Q86" s="400" t="n"/>
      <c r="R86" s="400" t="n"/>
      <c r="S86" s="91" t="n"/>
    </row>
    <row r="87">
      <c r="B87" s="40" t="inlineStr">
        <is>
          <t>1d. Free Cash Flow &amp; DCF Valuation (with 15% IRR) :</t>
        </is>
      </c>
      <c r="C87" s="29" t="n"/>
      <c r="D87" s="29" t="n"/>
      <c r="E87" s="29" t="n"/>
      <c r="F87" s="29" t="n"/>
      <c r="G87" s="51" t="n"/>
      <c r="H87" s="29" t="n"/>
      <c r="I87" s="29" t="n"/>
      <c r="J87" s="29" t="n"/>
      <c r="K87" s="29" t="n"/>
      <c r="L87" s="29" t="n"/>
      <c r="M87" s="29" t="n"/>
      <c r="N87" s="29" t="n"/>
      <c r="O87" s="29" t="n"/>
      <c r="P87" s="29" t="n"/>
      <c r="Q87" s="29" t="n"/>
      <c r="R87" s="29" t="n"/>
      <c r="S87" s="96" t="n"/>
    </row>
    <row r="88">
      <c r="B88" s="89" t="n"/>
      <c r="F88" s="180" t="n"/>
      <c r="G88" s="400" t="n"/>
      <c r="H88" s="400" t="n"/>
      <c r="I88" s="402" t="n"/>
      <c r="J88" s="402" t="n"/>
      <c r="K88" s="402" t="n"/>
      <c r="L88" s="402" t="n"/>
      <c r="M88" s="402" t="n"/>
      <c r="N88" s="402" t="n"/>
      <c r="O88" s="402" t="n"/>
      <c r="P88" s="402" t="n"/>
      <c r="Q88" s="402" t="n"/>
      <c r="R88" s="402" t="n"/>
      <c r="S88" s="91" t="n"/>
    </row>
    <row r="89">
      <c r="B89" s="89" t="n"/>
      <c r="C89" s="30" t="n"/>
      <c r="D89" s="30" t="n"/>
      <c r="E89" s="30" t="n"/>
      <c r="F89" s="326" t="n"/>
      <c r="G89" s="340" t="n"/>
      <c r="H89" s="341" t="n"/>
      <c r="I89" s="97" t="inlineStr">
        <is>
          <t>Growth Phase</t>
        </is>
      </c>
      <c r="J89" s="25" t="n"/>
      <c r="K89" s="25" t="n"/>
      <c r="L89" s="25" t="n"/>
      <c r="M89" s="25" t="n"/>
      <c r="N89" s="327" t="inlineStr">
        <is>
          <t>Steady State Phase</t>
        </is>
      </c>
      <c r="O89" s="340" t="n"/>
      <c r="P89" s="340" t="n"/>
      <c r="Q89" s="340" t="n"/>
      <c r="R89" s="340" t="n"/>
      <c r="S89" s="91" t="n"/>
    </row>
    <row r="90">
      <c r="B90" s="89" t="n"/>
      <c r="C90" s="30" t="n"/>
      <c r="D90" s="30" t="n"/>
      <c r="E90" s="30" t="n"/>
      <c r="F90" s="30" t="n"/>
      <c r="G90" s="30" t="n"/>
      <c r="H90" s="30" t="inlineStr">
        <is>
          <t>Units:</t>
        </is>
      </c>
      <c r="I90" s="98" t="n">
        <v>2024</v>
      </c>
      <c r="J90" s="30" t="n">
        <v>2025</v>
      </c>
      <c r="K90" s="30" t="n">
        <v>2026</v>
      </c>
      <c r="L90" s="30" t="n">
        <v>2027</v>
      </c>
      <c r="M90" s="30" t="n">
        <v>2028</v>
      </c>
      <c r="N90" s="99" t="n">
        <v>2029</v>
      </c>
      <c r="O90" s="30" t="n">
        <v>2030</v>
      </c>
      <c r="P90" s="30" t="n">
        <v>2031</v>
      </c>
      <c r="Q90" s="30" t="n">
        <v>2032</v>
      </c>
      <c r="R90" s="30" t="n">
        <v>2033</v>
      </c>
      <c r="S90" s="91" t="n"/>
    </row>
    <row r="91">
      <c r="B91" s="89" t="n"/>
      <c r="F91" s="180" t="n"/>
      <c r="G91" s="180" t="n"/>
      <c r="I91" s="402" t="n"/>
      <c r="J91" s="402" t="n"/>
      <c r="K91" s="402" t="n"/>
      <c r="L91" s="402" t="n"/>
      <c r="M91" s="402" t="n"/>
      <c r="N91" s="402" t="n"/>
      <c r="O91" s="402" t="n"/>
      <c r="P91" s="402" t="n"/>
      <c r="Q91" s="402" t="n"/>
      <c r="R91" s="402" t="n"/>
      <c r="S91" s="91" t="n"/>
    </row>
    <row r="92">
      <c r="B92" s="89" t="n"/>
      <c r="C92" s="74" t="inlineStr">
        <is>
          <t>Adjusted EBITDA</t>
        </is>
      </c>
      <c r="E92" s="114" t="n"/>
      <c r="F92" s="403" t="n"/>
      <c r="G92" s="403" t="n"/>
      <c r="H92" s="114" t="inlineStr">
        <is>
          <t>€m</t>
        </is>
      </c>
      <c r="I92" s="356">
        <f>I43</f>
        <v/>
      </c>
      <c r="J92" s="356">
        <f>J43</f>
        <v/>
      </c>
      <c r="K92" s="356">
        <f>K43</f>
        <v/>
      </c>
      <c r="L92" s="356">
        <f>L43</f>
        <v/>
      </c>
      <c r="M92" s="356">
        <f>M43</f>
        <v/>
      </c>
      <c r="N92" s="356">
        <f>N43</f>
        <v/>
      </c>
      <c r="O92" s="356">
        <f>O43</f>
        <v/>
      </c>
      <c r="P92" s="356">
        <f>P43</f>
        <v/>
      </c>
      <c r="Q92" s="356">
        <f>Q43</f>
        <v/>
      </c>
      <c r="R92" s="356">
        <f>R43</f>
        <v/>
      </c>
      <c r="S92" s="91" t="n"/>
    </row>
    <row r="93">
      <c r="B93" s="89" t="n"/>
      <c r="C93" s="74" t="inlineStr">
        <is>
          <t>Interest</t>
        </is>
      </c>
      <c r="E93" s="114" t="n"/>
      <c r="F93" s="403" t="n"/>
      <c r="G93" s="403" t="n"/>
      <c r="H93" s="114" t="inlineStr">
        <is>
          <t>€m</t>
        </is>
      </c>
      <c r="I93" s="356">
        <f>-I46</f>
        <v/>
      </c>
      <c r="J93" s="356">
        <f>-J46</f>
        <v/>
      </c>
      <c r="K93" s="356">
        <f>-K46</f>
        <v/>
      </c>
      <c r="L93" s="356">
        <f>-L46</f>
        <v/>
      </c>
      <c r="M93" s="356">
        <f>-M46</f>
        <v/>
      </c>
      <c r="N93" s="356">
        <f>-N46</f>
        <v/>
      </c>
      <c r="O93" s="356">
        <f>-O46</f>
        <v/>
      </c>
      <c r="P93" s="356">
        <f>-P46</f>
        <v/>
      </c>
      <c r="Q93" s="356">
        <f>-Q46</f>
        <v/>
      </c>
      <c r="R93" s="356">
        <f>-R46</f>
        <v/>
      </c>
      <c r="S93" s="91" t="n"/>
    </row>
    <row r="94">
      <c r="B94" s="89" t="n"/>
      <c r="C94" s="74" t="inlineStr">
        <is>
          <t>Tax</t>
        </is>
      </c>
      <c r="E94" s="114" t="n"/>
      <c r="F94" s="403" t="n"/>
      <c r="G94" s="403" t="n"/>
      <c r="H94" s="114" t="inlineStr">
        <is>
          <t>€m</t>
        </is>
      </c>
      <c r="I94" s="356">
        <f>-I52</f>
        <v/>
      </c>
      <c r="J94" s="356">
        <f>-J52</f>
        <v/>
      </c>
      <c r="K94" s="356">
        <f>-K52</f>
        <v/>
      </c>
      <c r="L94" s="356">
        <f>-L52</f>
        <v/>
      </c>
      <c r="M94" s="356">
        <f>-M52</f>
        <v/>
      </c>
      <c r="N94" s="356">
        <f>-N52</f>
        <v/>
      </c>
      <c r="O94" s="356">
        <f>-O52</f>
        <v/>
      </c>
      <c r="P94" s="356">
        <f>-P52</f>
        <v/>
      </c>
      <c r="Q94" s="356">
        <f>-Q52</f>
        <v/>
      </c>
      <c r="R94" s="356">
        <f>-R52</f>
        <v/>
      </c>
      <c r="S94" s="91" t="n"/>
    </row>
    <row r="95">
      <c r="B95" s="89" t="n"/>
      <c r="C95" s="74" t="inlineStr">
        <is>
          <t>Change in Working Capital</t>
        </is>
      </c>
      <c r="E95" s="114" t="n"/>
      <c r="F95" s="403" t="n"/>
      <c r="G95" s="403" t="n"/>
      <c r="H95" s="114" t="inlineStr">
        <is>
          <t>€m</t>
        </is>
      </c>
      <c r="I95" s="290">
        <f>I81</f>
        <v/>
      </c>
      <c r="J95" s="290">
        <f>J81</f>
        <v/>
      </c>
      <c r="K95" s="290">
        <f>K81</f>
        <v/>
      </c>
      <c r="L95" s="290">
        <f>L81</f>
        <v/>
      </c>
      <c r="M95" s="290">
        <f>M81</f>
        <v/>
      </c>
      <c r="N95" s="290">
        <f>N81</f>
        <v/>
      </c>
      <c r="O95" s="290">
        <f>O81</f>
        <v/>
      </c>
      <c r="P95" s="290">
        <f>P81</f>
        <v/>
      </c>
      <c r="Q95" s="290">
        <f>Q81</f>
        <v/>
      </c>
      <c r="R95" s="290">
        <f>R81</f>
        <v/>
      </c>
      <c r="S95" s="91" t="n"/>
    </row>
    <row r="96">
      <c r="B96" s="89" t="n"/>
      <c r="C96" s="74" t="inlineStr">
        <is>
          <t>Capex</t>
        </is>
      </c>
      <c r="E96" s="114" t="n"/>
      <c r="F96" s="403" t="n"/>
      <c r="G96" s="403" t="n"/>
      <c r="H96" s="114" t="inlineStr">
        <is>
          <t>€m</t>
        </is>
      </c>
      <c r="I96" s="356">
        <f>I79</f>
        <v/>
      </c>
      <c r="J96" s="356">
        <f>J79</f>
        <v/>
      </c>
      <c r="K96" s="356">
        <f>K79</f>
        <v/>
      </c>
      <c r="L96" s="356">
        <f>L79</f>
        <v/>
      </c>
      <c r="M96" s="356">
        <f>M79</f>
        <v/>
      </c>
      <c r="N96" s="356">
        <f>N79</f>
        <v/>
      </c>
      <c r="O96" s="356">
        <f>O79</f>
        <v/>
      </c>
      <c r="P96" s="356">
        <f>P79</f>
        <v/>
      </c>
      <c r="Q96" s="356">
        <f>Q79</f>
        <v/>
      </c>
      <c r="R96" s="356">
        <f>R79</f>
        <v/>
      </c>
      <c r="S96" s="91" t="n"/>
    </row>
    <row r="97">
      <c r="B97" s="89" t="n"/>
      <c r="C97" s="8" t="inlineStr">
        <is>
          <t>Free Cash Flow to Equity (FCFE)</t>
        </is>
      </c>
      <c r="D97" s="8" t="n"/>
      <c r="E97" s="184" t="n"/>
      <c r="F97" s="404" t="n"/>
      <c r="G97" s="404" t="n"/>
      <c r="H97" s="184" t="inlineStr">
        <is>
          <t>€m</t>
        </is>
      </c>
      <c r="I97" s="352">
        <f>SUM(I92:I96)</f>
        <v/>
      </c>
      <c r="J97" s="352">
        <f>SUM(J92:J96)</f>
        <v/>
      </c>
      <c r="K97" s="352">
        <f>SUM(K92:K96)</f>
        <v/>
      </c>
      <c r="L97" s="352">
        <f>SUM(L92:L96)</f>
        <v/>
      </c>
      <c r="M97" s="352">
        <f>SUM(M92:M96)</f>
        <v/>
      </c>
      <c r="N97" s="352">
        <f>SUM(N92:N96)</f>
        <v/>
      </c>
      <c r="O97" s="352">
        <f>SUM(O92:O96)</f>
        <v/>
      </c>
      <c r="P97" s="352">
        <f>SUM(P92:P96)</f>
        <v/>
      </c>
      <c r="Q97" s="352">
        <f>SUM(Q92:Q96)</f>
        <v/>
      </c>
      <c r="R97" s="352">
        <f>SUM(R92:R96)</f>
        <v/>
      </c>
      <c r="S97" s="91" t="n"/>
      <c r="T97" s="405" t="n"/>
    </row>
    <row r="98">
      <c r="B98" s="89" t="n"/>
      <c r="E98" s="114" t="n"/>
      <c r="F98" s="403" t="n"/>
      <c r="G98" s="403" t="n"/>
      <c r="H98" s="403" t="n"/>
      <c r="I98" s="403" t="n"/>
      <c r="J98" s="403" t="n"/>
      <c r="K98" s="403" t="n"/>
      <c r="L98" s="403" t="n"/>
      <c r="M98" s="403" t="n"/>
      <c r="N98" s="403" t="n"/>
      <c r="O98" s="403" t="n"/>
      <c r="P98" s="403" t="n"/>
      <c r="Q98" s="92" t="n"/>
      <c r="R98" s="403" t="n"/>
      <c r="S98" s="91" t="n"/>
    </row>
    <row r="99">
      <c r="B99" s="89" t="n"/>
      <c r="C99" s="74" t="inlineStr">
        <is>
          <t>Discount Rate (IRR)</t>
        </is>
      </c>
      <c r="E99" s="33" t="n">
        <v>0.15</v>
      </c>
      <c r="H99" s="75" t="n"/>
      <c r="I99" s="360" t="n"/>
      <c r="J99" s="406" t="n"/>
      <c r="O99" s="100" t="inlineStr">
        <is>
          <t>Terminal Value:</t>
        </is>
      </c>
      <c r="Q99" s="360" t="n"/>
      <c r="R99" s="362">
        <f>R97*(1+E100)/(E99-E100)</f>
        <v/>
      </c>
      <c r="S99" s="188" t="n"/>
    </row>
    <row r="100">
      <c r="B100" s="89" t="n"/>
      <c r="C100" s="74" t="inlineStr">
        <is>
          <t>Terminal Growth Rate</t>
        </is>
      </c>
      <c r="E100" s="33" t="n">
        <v>0.02</v>
      </c>
      <c r="H100" s="75" t="n"/>
      <c r="I100" s="360" t="n"/>
      <c r="J100" s="406" t="n"/>
      <c r="O100" s="11" t="n"/>
      <c r="Q100" s="360" t="n"/>
      <c r="R100" s="407" t="n"/>
      <c r="S100" s="91" t="n"/>
    </row>
    <row r="101">
      <c r="B101" s="89" t="n"/>
      <c r="C101" s="74" t="inlineStr">
        <is>
          <t>Tax Rate</t>
        </is>
      </c>
      <c r="E101" s="190">
        <f>D52</f>
        <v/>
      </c>
      <c r="I101" s="360" t="n"/>
      <c r="J101" s="360" t="n"/>
      <c r="K101" s="360" t="n"/>
      <c r="L101" s="360" t="n"/>
      <c r="M101" s="360" t="n"/>
      <c r="N101" s="360" t="n"/>
      <c r="O101" s="100" t="inlineStr">
        <is>
          <t>PV of Terminal Value:</t>
        </is>
      </c>
      <c r="Q101" s="360" t="n"/>
      <c r="R101" s="362">
        <f>R99*R103</f>
        <v/>
      </c>
      <c r="S101" s="91" t="n"/>
    </row>
    <row r="102">
      <c r="B102" s="89" t="n"/>
      <c r="F102" s="408" t="n"/>
      <c r="I102" s="360" t="n"/>
      <c r="S102" s="91" t="n"/>
    </row>
    <row r="103">
      <c r="B103" s="89" t="n"/>
      <c r="C103" s="74" t="inlineStr">
        <is>
          <t>Discount Factor</t>
        </is>
      </c>
      <c r="F103" s="408" t="n"/>
      <c r="I103" s="409">
        <f>1/(1+$E$99)^I104</f>
        <v/>
      </c>
      <c r="J103" s="409">
        <f>1/(1+$E$99)^J104</f>
        <v/>
      </c>
      <c r="K103" s="409">
        <f>1/(1+$E$99)^K104</f>
        <v/>
      </c>
      <c r="L103" s="409">
        <f>1/(1+$E$99)^L104</f>
        <v/>
      </c>
      <c r="M103" s="409">
        <f>1/(1+$E$99)^M104</f>
        <v/>
      </c>
      <c r="N103" s="409">
        <f>1/(1+$E$99)^N104</f>
        <v/>
      </c>
      <c r="O103" s="409">
        <f>1/(1+$E$99)^O104</f>
        <v/>
      </c>
      <c r="P103" s="409">
        <f>1/(1+$E$99)^P104</f>
        <v/>
      </c>
      <c r="Q103" s="409">
        <f>1/(1+$E$99)^Q104</f>
        <v/>
      </c>
      <c r="R103" s="409">
        <f>1/(1+$E$99)^R104</f>
        <v/>
      </c>
      <c r="S103" s="91" t="n"/>
      <c r="T103" s="335" t="n"/>
    </row>
    <row r="104">
      <c r="B104" s="89" t="n"/>
      <c r="C104" s="74" t="inlineStr">
        <is>
          <t>Year</t>
        </is>
      </c>
      <c r="I104" s="351" t="n">
        <v>1</v>
      </c>
      <c r="J104" s="351" t="n">
        <v>2</v>
      </c>
      <c r="K104" s="351" t="n">
        <v>3</v>
      </c>
      <c r="L104" s="351" t="n">
        <v>4</v>
      </c>
      <c r="M104" s="351" t="n">
        <v>5</v>
      </c>
      <c r="N104" s="351" t="n">
        <v>6</v>
      </c>
      <c r="O104" s="351" t="n">
        <v>7</v>
      </c>
      <c r="P104" s="351" t="n">
        <v>8</v>
      </c>
      <c r="Q104" s="351" t="n">
        <v>9</v>
      </c>
      <c r="R104" s="351" t="n">
        <v>10</v>
      </c>
      <c r="S104" s="91" t="n"/>
    </row>
    <row r="105">
      <c r="B105" s="89" t="n"/>
      <c r="C105" s="8" t="inlineStr">
        <is>
          <t>PV of FCFE</t>
        </is>
      </c>
      <c r="D105" s="8" t="n"/>
      <c r="E105" s="8" t="n"/>
      <c r="F105" s="194" t="n"/>
      <c r="G105" s="194" t="n"/>
      <c r="H105" s="194" t="n"/>
      <c r="I105" s="352">
        <f>I97*I103</f>
        <v/>
      </c>
      <c r="J105" s="352">
        <f>J97*J103</f>
        <v/>
      </c>
      <c r="K105" s="352">
        <f>K97*K103</f>
        <v/>
      </c>
      <c r="L105" s="352">
        <f>L97*L103</f>
        <v/>
      </c>
      <c r="M105" s="352">
        <f>M97*M103</f>
        <v/>
      </c>
      <c r="N105" s="352">
        <f>N97*N103</f>
        <v/>
      </c>
      <c r="O105" s="352">
        <f>O97*O103</f>
        <v/>
      </c>
      <c r="P105" s="352">
        <f>P97*P103</f>
        <v/>
      </c>
      <c r="Q105" s="352">
        <f>Q97*Q103</f>
        <v/>
      </c>
      <c r="R105" s="352">
        <f>R97*R103</f>
        <v/>
      </c>
      <c r="S105" s="91" t="n"/>
    </row>
    <row r="106">
      <c r="B106" s="89" t="n"/>
      <c r="C106" s="11" t="n"/>
      <c r="D106" s="11" t="n"/>
      <c r="E106" s="11" t="n"/>
      <c r="I106" s="410" t="n"/>
      <c r="J106" s="410" t="n"/>
      <c r="K106" s="410" t="n"/>
      <c r="L106" s="410" t="n"/>
      <c r="M106" s="410" t="n"/>
      <c r="N106" s="410" t="n"/>
      <c r="O106" s="410" t="n"/>
      <c r="P106" s="410" t="n"/>
      <c r="Q106" s="410" t="n"/>
      <c r="R106" s="411" t="n"/>
      <c r="S106" s="91" t="n"/>
    </row>
    <row r="107">
      <c r="B107" s="89" t="n"/>
      <c r="C107" s="11" t="n"/>
      <c r="D107" s="11" t="n"/>
      <c r="E107" s="11" t="n"/>
      <c r="I107" s="410" t="n"/>
      <c r="J107" s="410" t="n"/>
      <c r="K107" s="410" t="n"/>
      <c r="L107" s="410" t="n"/>
      <c r="M107" s="410" t="n"/>
      <c r="N107" s="410" t="n"/>
      <c r="O107" s="410" t="n"/>
      <c r="P107" s="410" t="n"/>
      <c r="Q107" s="410" t="n"/>
      <c r="S107" s="91" t="n"/>
    </row>
    <row r="108">
      <c r="B108" s="89" t="n"/>
      <c r="C108" s="308" t="inlineStr">
        <is>
          <t>Base Case</t>
        </is>
      </c>
      <c r="D108" s="308" t="n"/>
      <c r="E108" s="412" t="n"/>
      <c r="F108" s="103" t="n"/>
      <c r="J108" s="413" t="n"/>
      <c r="K108" s="413" t="n"/>
      <c r="L108" s="413" t="n"/>
      <c r="M108" s="413" t="n"/>
      <c r="N108" s="413" t="n"/>
      <c r="O108" s="413" t="n"/>
      <c r="P108" s="413" t="n"/>
      <c r="Q108" s="413" t="n"/>
      <c r="S108" s="91" t="n"/>
    </row>
    <row r="109">
      <c r="B109" s="89" t="n"/>
      <c r="C109" s="74" t="inlineStr">
        <is>
          <t>Equity Value</t>
        </is>
      </c>
      <c r="D109" s="103" t="inlineStr">
        <is>
          <t>€m</t>
        </is>
      </c>
      <c r="E109" s="414">
        <f>SUM(I105:R105,R101)</f>
        <v/>
      </c>
      <c r="F109" s="198" t="n"/>
      <c r="J109" s="351" t="n"/>
      <c r="S109" s="91" t="n"/>
    </row>
    <row r="110">
      <c r="B110" s="89" t="n"/>
      <c r="C110" s="74" t="inlineStr">
        <is>
          <t>(+) Net Debt</t>
        </is>
      </c>
      <c r="D110" s="103" t="inlineStr">
        <is>
          <t>€m</t>
        </is>
      </c>
      <c r="E110" s="28">
        <f>$D$61</f>
        <v/>
      </c>
      <c r="F110" s="103" t="n"/>
      <c r="S110" s="91" t="n"/>
    </row>
    <row r="111">
      <c r="B111" s="89" t="n"/>
      <c r="C111" s="8" t="inlineStr">
        <is>
          <t>Enterprise Value</t>
        </is>
      </c>
      <c r="D111" s="184" t="inlineStr">
        <is>
          <t>€m</t>
        </is>
      </c>
      <c r="E111" s="415">
        <f>SUM(E109:E110)</f>
        <v/>
      </c>
      <c r="F111" s="103" t="n"/>
      <c r="S111" s="23" t="n"/>
    </row>
    <row r="112">
      <c r="B112" s="89" t="n"/>
      <c r="F112" s="103" t="n"/>
      <c r="S112" s="23" t="n"/>
    </row>
    <row r="113">
      <c r="B113" s="147" t="n"/>
      <c r="C113" s="152" t="n"/>
      <c r="D113" s="152" t="n"/>
      <c r="E113" s="152" t="n"/>
      <c r="F113" s="152" t="n"/>
      <c r="G113" s="306" t="n"/>
      <c r="H113" s="306" t="n"/>
      <c r="I113" s="306" t="n"/>
      <c r="J113" s="152" t="n"/>
      <c r="K113" s="152" t="n"/>
      <c r="L113" s="152" t="n"/>
      <c r="M113" s="152" t="n"/>
      <c r="N113" s="152" t="n"/>
      <c r="O113" s="152" t="n"/>
      <c r="P113" s="152" t="n"/>
      <c r="Q113" s="152" t="n"/>
      <c r="R113" s="152" t="n"/>
      <c r="S113" s="150" t="n"/>
    </row>
    <row r="114"/>
    <row r="115"/>
    <row r="116">
      <c r="F116" s="201" t="n"/>
      <c r="G116" s="201" t="n"/>
      <c r="H116" s="201" t="n"/>
      <c r="I116" s="201" t="n"/>
    </row>
    <row r="117">
      <c r="D117" s="202" t="n"/>
      <c r="E117" s="202" t="n"/>
      <c r="F117" s="386" t="n"/>
      <c r="G117" s="386" t="n"/>
      <c r="H117" s="386" t="n"/>
      <c r="I117" s="386" t="n"/>
    </row>
    <row r="118">
      <c r="C118" s="201" t="n"/>
    </row>
  </sheetData>
  <mergeCells count="6">
    <mergeCell ref="F72:H72"/>
    <mergeCell ref="N12:R12"/>
    <mergeCell ref="N72:R72"/>
    <mergeCell ref="F89:H89"/>
    <mergeCell ref="N89:R89"/>
    <mergeCell ref="F12:H12"/>
  </mergeCells>
  <pageMargins left="0.7" right="0.7" top="0.75" bottom="0.75" header="0.3" footer="0.3"/>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tabColor theme="5" tint="0.7999816888943144"/>
    <outlinePr summaryBelow="1" summaryRight="1"/>
    <pageSetUpPr/>
  </sheetPr>
  <dimension ref="B2:W122"/>
  <sheetViews>
    <sheetView showGridLines="0" topLeftCell="A100" zoomScale="115" zoomScaleNormal="115" workbookViewId="0">
      <selection activeCell="G119" sqref="G119"/>
    </sheetView>
  </sheetViews>
  <sheetFormatPr baseColWidth="8" defaultColWidth="12.7109375" defaultRowHeight="15.75"/>
  <cols>
    <col width="3.42578125" customWidth="1" style="74" min="1" max="1"/>
    <col width="3" customWidth="1" style="74" min="2" max="2"/>
    <col width="43" customWidth="1" style="74" min="3" max="3"/>
    <col width="9.85546875" customWidth="1" style="74" min="4" max="4"/>
    <col width="10.28515625" customWidth="1" style="74" min="5" max="6"/>
    <col width="19" customWidth="1" style="74" min="7" max="7"/>
    <col width="10.28515625" customWidth="1" style="74" min="8" max="18"/>
    <col width="3.5703125" customWidth="1" style="74" min="19" max="19"/>
    <col width="62.5703125" bestFit="1" customWidth="1" style="74" min="20" max="20"/>
    <col width="12.7109375" customWidth="1" style="74" min="21" max="16384"/>
  </cols>
  <sheetData>
    <row r="2">
      <c r="B2" s="86" t="n"/>
      <c r="C2" s="87" t="n"/>
      <c r="D2" s="87" t="n"/>
      <c r="E2" s="87" t="n"/>
      <c r="F2" s="87" t="n"/>
      <c r="G2" s="87" t="n"/>
      <c r="H2" s="87" t="n"/>
      <c r="I2" s="87" t="n"/>
      <c r="J2" s="87" t="n"/>
      <c r="K2" s="87" t="n"/>
      <c r="L2" s="87" t="n"/>
      <c r="M2" s="87" t="n"/>
      <c r="N2" s="87" t="n"/>
      <c r="O2" s="87" t="n"/>
      <c r="P2" s="87" t="n"/>
      <c r="Q2" s="87" t="n"/>
      <c r="R2" s="87" t="n"/>
      <c r="S2" s="88" t="n"/>
    </row>
    <row r="3">
      <c r="B3" s="89" t="n"/>
      <c r="G3" s="90" t="n"/>
      <c r="S3" s="91" t="n"/>
    </row>
    <row r="4">
      <c r="B4" s="89" t="n"/>
      <c r="G4" s="92" t="n"/>
      <c r="S4" s="91" t="n"/>
    </row>
    <row r="5">
      <c r="B5" s="89" t="n"/>
      <c r="G5" s="92" t="n"/>
      <c r="S5" s="91" t="n"/>
    </row>
    <row r="6">
      <c r="B6" s="89" t="n"/>
      <c r="S6" s="91" t="n"/>
    </row>
    <row r="7">
      <c r="B7" s="89" t="n"/>
      <c r="G7" s="93" t="n"/>
      <c r="S7" s="91" t="n"/>
    </row>
    <row r="8">
      <c r="B8" s="89" t="n"/>
      <c r="C8" s="74" t="inlineStr">
        <is>
          <t>Team Number:</t>
        </is>
      </c>
      <c r="D8" s="72" t="n">
        <v>5</v>
      </c>
      <c r="F8" s="94" t="n"/>
      <c r="G8" s="95" t="n"/>
      <c r="S8" s="91" t="n"/>
    </row>
    <row r="9">
      <c r="B9" s="89" t="n"/>
      <c r="F9" s="94" t="n"/>
      <c r="G9" s="95" t="n"/>
      <c r="S9" s="91" t="n"/>
    </row>
    <row r="10">
      <c r="B10" s="40" t="inlineStr">
        <is>
          <t>1a. Profit &amp; Loss</t>
        </is>
      </c>
      <c r="C10" s="29" t="n"/>
      <c r="D10" s="29" t="n"/>
      <c r="E10" s="29" t="n"/>
      <c r="F10" s="29" t="n"/>
      <c r="G10" s="51" t="n"/>
      <c r="H10" s="29" t="n"/>
      <c r="I10" s="29" t="n"/>
      <c r="J10" s="29" t="n"/>
      <c r="K10" s="29" t="n"/>
      <c r="L10" s="29" t="n"/>
      <c r="M10" s="29" t="n"/>
      <c r="N10" s="29" t="n"/>
      <c r="O10" s="29" t="n"/>
      <c r="P10" s="29" t="n"/>
      <c r="Q10" s="29" t="n"/>
      <c r="R10" s="29" t="n"/>
      <c r="S10" s="96" t="n"/>
    </row>
    <row r="11">
      <c r="B11" s="89" t="n"/>
      <c r="S11" s="91" t="n"/>
    </row>
    <row r="12">
      <c r="B12" s="89" t="n"/>
      <c r="C12" s="30" t="n"/>
      <c r="D12" s="30" t="n"/>
      <c r="E12" s="30" t="n"/>
      <c r="F12" s="326" t="inlineStr">
        <is>
          <t>Historical</t>
        </is>
      </c>
      <c r="G12" s="340" t="n"/>
      <c r="H12" s="341" t="n"/>
      <c r="I12" s="97" t="inlineStr">
        <is>
          <t>Growth Phase</t>
        </is>
      </c>
      <c r="J12" s="25" t="n"/>
      <c r="K12" s="25" t="n"/>
      <c r="L12" s="25" t="n"/>
      <c r="M12" s="25" t="n"/>
      <c r="N12" s="327" t="inlineStr">
        <is>
          <t>Steady State Phase</t>
        </is>
      </c>
      <c r="O12" s="340" t="n"/>
      <c r="P12" s="340" t="n"/>
      <c r="Q12" s="340" t="n"/>
      <c r="R12" s="340" t="n"/>
      <c r="S12" s="91" t="n"/>
    </row>
    <row r="13">
      <c r="B13" s="89" t="n"/>
      <c r="C13" s="30" t="n"/>
      <c r="D13" s="30" t="n"/>
      <c r="E13" s="30" t="inlineStr">
        <is>
          <t>Units:</t>
        </is>
      </c>
      <c r="F13" s="30" t="n">
        <v>2021</v>
      </c>
      <c r="G13" s="30" t="n">
        <v>2022</v>
      </c>
      <c r="H13" s="27" t="n">
        <v>2023</v>
      </c>
      <c r="I13" s="98" t="n">
        <v>2024</v>
      </c>
      <c r="J13" s="30" t="n">
        <v>2025</v>
      </c>
      <c r="K13" s="30" t="n">
        <v>2026</v>
      </c>
      <c r="L13" s="30" t="n">
        <v>2027</v>
      </c>
      <c r="M13" s="30" t="n">
        <v>2028</v>
      </c>
      <c r="N13" s="99" t="n">
        <v>2029</v>
      </c>
      <c r="O13" s="30" t="n">
        <v>2030</v>
      </c>
      <c r="P13" s="30" t="n">
        <v>2031</v>
      </c>
      <c r="Q13" s="30" t="n">
        <v>2032</v>
      </c>
      <c r="R13" s="30" t="n">
        <v>2033</v>
      </c>
      <c r="S13" s="91" t="n"/>
    </row>
    <row r="14">
      <c r="B14" s="89" t="n"/>
      <c r="C14" s="100" t="inlineStr">
        <is>
          <t>Leased &amp; Operated:</t>
        </is>
      </c>
      <c r="D14" s="100" t="n"/>
      <c r="E14" s="100" t="n"/>
      <c r="F14" s="101" t="n"/>
      <c r="G14" s="101" t="n"/>
      <c r="H14" s="101" t="n"/>
      <c r="I14" s="101" t="n"/>
      <c r="J14" s="101" t="n"/>
      <c r="K14" s="101" t="n"/>
      <c r="L14" s="101" t="n"/>
      <c r="M14" s="101" t="n"/>
      <c r="N14" s="101" t="n"/>
      <c r="O14" s="101" t="n"/>
      <c r="P14" s="101" t="n"/>
      <c r="Q14" s="101" t="n"/>
      <c r="R14" s="101" t="n"/>
      <c r="S14" s="91" t="n"/>
    </row>
    <row r="15">
      <c r="B15" s="89" t="n"/>
      <c r="C15" s="102" t="inlineStr">
        <is>
          <t>Hotels at Year End</t>
        </is>
      </c>
      <c r="D15" s="102" t="n"/>
      <c r="E15" s="103" t="inlineStr">
        <is>
          <t>#</t>
        </is>
      </c>
      <c r="F15" s="342" t="n">
        <v>273</v>
      </c>
      <c r="G15" s="342" t="n">
        <v>285</v>
      </c>
      <c r="H15" s="342" t="n">
        <v>300</v>
      </c>
      <c r="I15" s="28">
        <f>H15+'Key Assumptions'!$E$5</f>
        <v/>
      </c>
      <c r="J15" s="28">
        <f>I15+'Key Assumptions'!$E$5</f>
        <v/>
      </c>
      <c r="K15" s="28">
        <f>J15+'Key Assumptions'!$E$5</f>
        <v/>
      </c>
      <c r="L15" s="28">
        <f>K15+'Key Assumptions'!$E$5</f>
        <v/>
      </c>
      <c r="M15" s="28">
        <f>L15+'Key Assumptions'!$E$5</f>
        <v/>
      </c>
      <c r="N15" s="28">
        <f>M15*(1+N18)</f>
        <v/>
      </c>
      <c r="O15" s="28">
        <f>N15*(1+O18)</f>
        <v/>
      </c>
      <c r="P15" s="28">
        <f>O15*(1+P18)</f>
        <v/>
      </c>
      <c r="Q15" s="28">
        <f>P15*(1+Q18)</f>
        <v/>
      </c>
      <c r="R15" s="28">
        <f>Q15*(1+R18)</f>
        <v/>
      </c>
      <c r="S15" s="105" t="n"/>
    </row>
    <row r="16">
      <c r="B16" s="89" t="n"/>
      <c r="C16" s="102" t="inlineStr">
        <is>
          <t>Hotels Out of Service</t>
        </is>
      </c>
      <c r="D16" s="102" t="n"/>
      <c r="E16" s="103" t="inlineStr">
        <is>
          <t>#</t>
        </is>
      </c>
      <c r="F16" s="342" t="n"/>
      <c r="G16" s="342" t="n"/>
      <c r="H16" s="342" t="n"/>
      <c r="I16" s="284" t="n">
        <v>1</v>
      </c>
      <c r="J16" s="28" t="n"/>
      <c r="K16" s="28" t="n"/>
      <c r="L16" s="28" t="n"/>
      <c r="M16" s="28" t="n"/>
      <c r="N16" s="28" t="n"/>
      <c r="O16" s="28" t="n"/>
      <c r="P16" s="28" t="n"/>
      <c r="Q16" s="28" t="n"/>
      <c r="R16" s="28" t="n"/>
      <c r="S16" s="105" t="n"/>
    </row>
    <row r="17">
      <c r="B17" s="89" t="n"/>
      <c r="C17" s="102" t="inlineStr">
        <is>
          <t>Operating Hotels at Year End</t>
        </is>
      </c>
      <c r="D17" s="102" t="n"/>
      <c r="E17" s="103" t="inlineStr">
        <is>
          <t>#</t>
        </is>
      </c>
      <c r="F17" s="342">
        <f>F15-F16</f>
        <v/>
      </c>
      <c r="G17" s="342">
        <f>G15-G16</f>
        <v/>
      </c>
      <c r="H17" s="342">
        <f>H15-H16</f>
        <v/>
      </c>
      <c r="I17" s="28">
        <f>I15-I16</f>
        <v/>
      </c>
      <c r="J17" s="28">
        <f>J15-J16</f>
        <v/>
      </c>
      <c r="K17" s="28">
        <f>K15-K16</f>
        <v/>
      </c>
      <c r="L17" s="28">
        <f>L15-L16</f>
        <v/>
      </c>
      <c r="M17" s="28">
        <f>M15-M16</f>
        <v/>
      </c>
      <c r="N17" s="28">
        <f>N15-N16</f>
        <v/>
      </c>
      <c r="O17" s="28">
        <f>O15-O16</f>
        <v/>
      </c>
      <c r="P17" s="28">
        <f>P15-P16</f>
        <v/>
      </c>
      <c r="Q17" s="28">
        <f>Q15-Q16</f>
        <v/>
      </c>
      <c r="R17" s="28">
        <f>R15-R16</f>
        <v/>
      </c>
      <c r="S17" s="105" t="n"/>
    </row>
    <row r="18">
      <c r="B18" s="89" t="n"/>
      <c r="C18" s="240" t="inlineStr">
        <is>
          <t>Number of Hotels Growth</t>
        </is>
      </c>
      <c r="D18" s="241" t="n"/>
      <c r="E18" s="282" t="inlineStr">
        <is>
          <t>%</t>
        </is>
      </c>
      <c r="F18" s="242" t="n"/>
      <c r="G18" s="242">
        <f>(G15-F15)/F15</f>
        <v/>
      </c>
      <c r="H18" s="242">
        <f>(H15-G15)/G15</f>
        <v/>
      </c>
      <c r="I18" s="242">
        <f>(I15-H15)/H15</f>
        <v/>
      </c>
      <c r="J18" s="242">
        <f>(J15-I15)/I15</f>
        <v/>
      </c>
      <c r="K18" s="242">
        <f>(K15-J15)/J15</f>
        <v/>
      </c>
      <c r="L18" s="242">
        <f>(L15-K15)/K15</f>
        <v/>
      </c>
      <c r="M18" s="242">
        <f>(M15-L15)/L15</f>
        <v/>
      </c>
      <c r="N18" s="242">
        <f>'Key Assumptions'!$E$6</f>
        <v/>
      </c>
      <c r="O18" s="242">
        <f>'Key Assumptions'!$E$6</f>
        <v/>
      </c>
      <c r="P18" s="242">
        <f>'Key Assumptions'!$E$6</f>
        <v/>
      </c>
      <c r="Q18" s="242">
        <f>'Key Assumptions'!$E$6</f>
        <v/>
      </c>
      <c r="R18" s="242">
        <f>'Key Assumptions'!$E$6</f>
        <v/>
      </c>
      <c r="S18" s="105" t="n"/>
    </row>
    <row r="19">
      <c r="B19" s="89" t="n"/>
      <c r="C19" s="106" t="n"/>
      <c r="D19" s="106" t="n"/>
      <c r="E19" s="107" t="n"/>
      <c r="F19" s="108" t="n"/>
      <c r="G19" s="108" t="n"/>
      <c r="H19" s="108" t="n"/>
      <c r="I19" s="343" t="n"/>
      <c r="J19" s="343" t="n"/>
      <c r="K19" s="343" t="n"/>
      <c r="L19" s="343" t="n"/>
      <c r="M19" s="343" t="n"/>
      <c r="N19" s="343" t="n"/>
      <c r="O19" s="343" t="n"/>
      <c r="P19" s="343" t="n"/>
      <c r="Q19" s="343" t="n"/>
      <c r="R19" s="343" t="n"/>
      <c r="S19" s="91" t="n"/>
    </row>
    <row r="20">
      <c r="B20" s="89" t="n"/>
      <c r="C20" s="106" t="n"/>
      <c r="D20" s="106" t="n"/>
      <c r="E20" s="107" t="n"/>
      <c r="F20" s="108" t="n"/>
      <c r="G20" s="108" t="n"/>
      <c r="H20" s="108" t="n"/>
      <c r="I20" s="343" t="n"/>
      <c r="J20" s="343" t="n"/>
      <c r="K20" s="343" t="n"/>
      <c r="L20" s="343" t="n"/>
      <c r="M20" s="343" t="n"/>
      <c r="N20" s="343" t="n"/>
      <c r="O20" s="343" t="n"/>
      <c r="P20" s="343" t="n"/>
      <c r="Q20" s="343" t="n"/>
      <c r="R20" s="343" t="n"/>
      <c r="S20" s="91" t="n"/>
    </row>
    <row r="21">
      <c r="B21" s="89" t="n"/>
      <c r="C21" s="102" t="inlineStr">
        <is>
          <t>Rooms per Hotel</t>
        </is>
      </c>
      <c r="D21" s="102" t="n"/>
      <c r="E21" s="103" t="inlineStr">
        <is>
          <t>#</t>
        </is>
      </c>
      <c r="F21" s="342" t="n">
        <v>120</v>
      </c>
      <c r="G21" s="342" t="n">
        <v>120</v>
      </c>
      <c r="H21" s="342" t="n">
        <v>120</v>
      </c>
      <c r="I21" s="28">
        <f>H21</f>
        <v/>
      </c>
      <c r="J21" s="28">
        <f>I21</f>
        <v/>
      </c>
      <c r="K21" s="28">
        <f>J21</f>
        <v/>
      </c>
      <c r="L21" s="28">
        <f>K21</f>
        <v/>
      </c>
      <c r="M21" s="28">
        <f>L21</f>
        <v/>
      </c>
      <c r="N21" s="28" t="n">
        <v>120</v>
      </c>
      <c r="O21" s="28" t="n">
        <v>120</v>
      </c>
      <c r="P21" s="28" t="n">
        <v>120</v>
      </c>
      <c r="Q21" s="28" t="n">
        <v>120</v>
      </c>
      <c r="R21" s="28" t="n">
        <v>120</v>
      </c>
      <c r="S21" s="91" t="n"/>
    </row>
    <row r="22">
      <c r="B22" s="89" t="n"/>
      <c r="C22" s="106" t="n"/>
      <c r="D22" s="106" t="n"/>
      <c r="E22" s="107" t="n"/>
      <c r="F22" s="344" t="n"/>
      <c r="G22" s="343" t="n"/>
      <c r="H22" s="343" t="n"/>
      <c r="I22" s="343" t="n"/>
      <c r="J22" s="343" t="n"/>
      <c r="K22" s="343" t="n"/>
      <c r="L22" s="343" t="n"/>
      <c r="M22" s="343" t="n"/>
      <c r="N22" s="343" t="n"/>
      <c r="O22" s="343" t="n"/>
      <c r="P22" s="343" t="n"/>
      <c r="Q22" s="343" t="n"/>
      <c r="R22" s="343" t="n"/>
      <c r="S22" s="91" t="n"/>
    </row>
    <row r="23">
      <c r="B23" s="89" t="n"/>
      <c r="C23" s="102" t="inlineStr">
        <is>
          <t>Average Occupancy Rate</t>
        </is>
      </c>
      <c r="D23" s="102" t="n"/>
      <c r="E23" s="103" t="inlineStr">
        <is>
          <t>%</t>
        </is>
      </c>
      <c r="F23" s="345" t="n">
        <v>0.76</v>
      </c>
      <c r="G23" s="345" t="n">
        <v>0.765</v>
      </c>
      <c r="H23" s="345" t="n">
        <v>0.728</v>
      </c>
      <c r="I23" s="346" t="n">
        <v>0.74</v>
      </c>
      <c r="J23" s="346" t="n">
        <v>0.743</v>
      </c>
      <c r="K23" s="346" t="n">
        <v>0.746</v>
      </c>
      <c r="L23" s="346" t="n">
        <v>0.749</v>
      </c>
      <c r="M23" s="346" t="n">
        <v>0.752</v>
      </c>
      <c r="N23" s="346">
        <f>M23</f>
        <v/>
      </c>
      <c r="O23" s="346">
        <f>N23</f>
        <v/>
      </c>
      <c r="P23" s="346">
        <f>O23</f>
        <v/>
      </c>
      <c r="Q23" s="346">
        <f>P23</f>
        <v/>
      </c>
      <c r="R23" s="346">
        <f>Q23</f>
        <v/>
      </c>
      <c r="S23" s="91" t="n"/>
    </row>
    <row r="24">
      <c r="B24" s="89" t="n"/>
      <c r="C24" s="102" t="inlineStr">
        <is>
          <t>ADR (Average Daily Rate)</t>
        </is>
      </c>
      <c r="D24" s="102" t="n"/>
      <c r="E24" s="114" t="inlineStr">
        <is>
          <t>€</t>
        </is>
      </c>
      <c r="F24" s="347" t="n">
        <v>69.09999999999999</v>
      </c>
      <c r="G24" s="347" t="n">
        <v>69.09999999999999</v>
      </c>
      <c r="H24" s="347" t="n">
        <v>69.09999999999999</v>
      </c>
      <c r="I24" s="348" t="n">
        <v>65</v>
      </c>
      <c r="J24" s="348" t="n">
        <v>69.5</v>
      </c>
      <c r="K24" s="348" t="n">
        <v>70.59999999999999</v>
      </c>
      <c r="L24" s="348" t="n">
        <v>71.90000000000001</v>
      </c>
      <c r="M24" s="348" t="n">
        <v>73.40000000000001</v>
      </c>
      <c r="N24" s="348">
        <f>M24</f>
        <v/>
      </c>
      <c r="O24" s="348">
        <f>N24</f>
        <v/>
      </c>
      <c r="P24" s="348">
        <f>O24</f>
        <v/>
      </c>
      <c r="Q24" s="348">
        <f>P24</f>
        <v/>
      </c>
      <c r="R24" s="348">
        <f>Q24</f>
        <v/>
      </c>
      <c r="S24" s="91" t="n"/>
    </row>
    <row r="25">
      <c r="B25" s="89" t="n"/>
      <c r="C25" s="102" t="inlineStr">
        <is>
          <t>RevPAR (Revenue per Available Room)</t>
        </is>
      </c>
      <c r="D25" s="102" t="n"/>
      <c r="E25" s="114" t="inlineStr">
        <is>
          <t>€</t>
        </is>
      </c>
      <c r="F25" s="347">
        <f>+F24*F23</f>
        <v/>
      </c>
      <c r="G25" s="347">
        <f>+G24*G23</f>
        <v/>
      </c>
      <c r="H25" s="347">
        <f>+H24*H23</f>
        <v/>
      </c>
      <c r="I25" s="349">
        <f>I23*I24</f>
        <v/>
      </c>
      <c r="J25" s="349">
        <f>J23*J24</f>
        <v/>
      </c>
      <c r="K25" s="349">
        <f>K23*K24</f>
        <v/>
      </c>
      <c r="L25" s="349">
        <f>L23*L24</f>
        <v/>
      </c>
      <c r="M25" s="349">
        <f>M23*M24</f>
        <v/>
      </c>
      <c r="N25" s="350">
        <f>N23*N24</f>
        <v/>
      </c>
      <c r="O25" s="350">
        <f>O23*O24</f>
        <v/>
      </c>
      <c r="P25" s="350">
        <f>P23*P24</f>
        <v/>
      </c>
      <c r="Q25" s="350">
        <f>Q23*Q24</f>
        <v/>
      </c>
      <c r="R25" s="350">
        <f>R23*R24</f>
        <v/>
      </c>
      <c r="S25" s="91" t="n"/>
      <c r="T25" s="351" t="n"/>
    </row>
    <row r="26">
      <c r="B26" s="89" t="n"/>
      <c r="C26" s="120" t="inlineStr">
        <is>
          <t>Revenue</t>
        </is>
      </c>
      <c r="D26" s="120" t="n"/>
      <c r="E26" s="121" t="inlineStr">
        <is>
          <t>€m</t>
        </is>
      </c>
      <c r="F26" s="352" t="n">
        <v>626.8</v>
      </c>
      <c r="G26" s="352">
        <f>(AVERAGE(F$21:G$21)*AVERAGE(F$17:G$17)*G$25*365)/1000000</f>
        <v/>
      </c>
      <c r="H26" s="352">
        <f>(AVERAGE(G$21:H$21)*AVERAGE(G$17:H$17)*H$25*365)/1000000</f>
        <v/>
      </c>
      <c r="I26" s="353">
        <f>(AVERAGE(H$21:I$21)*AVERAGE(H$17:I$17)*I$25*365)/1000000</f>
        <v/>
      </c>
      <c r="J26" s="353">
        <f>(AVERAGE(I$21:J$21)*AVERAGE(I$17:J$17)*J$25*365)/1000000</f>
        <v/>
      </c>
      <c r="K26" s="352">
        <f>(AVERAGE(J$21:K$21)*AVERAGE(J$17:K$17)*K$25*365)/1000000</f>
        <v/>
      </c>
      <c r="L26" s="352">
        <f>(AVERAGE(K$21:L$21)*AVERAGE(K$17:L$17)*L$25*365)/1000000</f>
        <v/>
      </c>
      <c r="M26" s="352">
        <f>(AVERAGE(L$21:M$21)*AVERAGE(L$17:M$17)*M$25*365)/1000000</f>
        <v/>
      </c>
      <c r="N26" s="352">
        <f>(AVERAGE(M$21:N$21)*AVERAGE(M$17:N$17)*N$25*365)/1000000</f>
        <v/>
      </c>
      <c r="O26" s="352">
        <f>(AVERAGE(N$21:O$21)*AVERAGE(N$17:O$17)*O$25*365)/1000000</f>
        <v/>
      </c>
      <c r="P26" s="352">
        <f>(AVERAGE(O$21:P$21)*AVERAGE(O$17:P$17)*P$25*365)/1000000</f>
        <v/>
      </c>
      <c r="Q26" s="352">
        <f>(AVERAGE(P$21:Q$21)*AVERAGE(P$17:Q$17)*Q$25*365)/1000000</f>
        <v/>
      </c>
      <c r="R26" s="352">
        <f>(AVERAGE(Q$21:R$21)*AVERAGE(Q$17:R$17)*R$25*365)/1000000</f>
        <v/>
      </c>
      <c r="S26" s="91" t="n"/>
    </row>
    <row r="27">
      <c r="B27" s="89" t="n"/>
      <c r="C27" s="248" t="inlineStr">
        <is>
          <t>YoY Revenue Growth</t>
        </is>
      </c>
      <c r="D27" s="246" t="n"/>
      <c r="E27" s="281" t="inlineStr">
        <is>
          <t>%</t>
        </is>
      </c>
      <c r="F27" s="354" t="n"/>
      <c r="G27" s="258">
        <f>G26/F26-1</f>
        <v/>
      </c>
      <c r="H27" s="258">
        <f>H26/G26-1</f>
        <v/>
      </c>
      <c r="I27" s="258">
        <f>I26/H26-1</f>
        <v/>
      </c>
      <c r="J27" s="258">
        <f>J26/I26-1</f>
        <v/>
      </c>
      <c r="K27" s="258">
        <f>K26/J26-1</f>
        <v/>
      </c>
      <c r="L27" s="258">
        <f>L26/K26-1</f>
        <v/>
      </c>
      <c r="M27" s="258">
        <f>M26/L26-1</f>
        <v/>
      </c>
      <c r="N27" s="258">
        <f>N26/M26-1</f>
        <v/>
      </c>
      <c r="O27" s="258">
        <f>O26/N26-1</f>
        <v/>
      </c>
      <c r="P27" s="258">
        <f>P26/O26-1</f>
        <v/>
      </c>
      <c r="Q27" s="258">
        <f>Q26/P26-1</f>
        <v/>
      </c>
      <c r="R27" s="258">
        <f>R26/Q26-1</f>
        <v/>
      </c>
      <c r="S27" s="91" t="n"/>
    </row>
    <row r="28">
      <c r="B28" s="89" t="n"/>
      <c r="C28" s="120" t="inlineStr">
        <is>
          <t>Adjusted Revenues</t>
        </is>
      </c>
      <c r="D28" s="120" t="n"/>
      <c r="E28" s="121" t="inlineStr">
        <is>
          <t>€m</t>
        </is>
      </c>
      <c r="F28" s="352" t="n">
        <v>626.8</v>
      </c>
      <c r="G28" s="352">
        <f>(AVERAGE(F$21:G$21)*AVERAGE(F$15:G$15)*G$25*365)/1000000</f>
        <v/>
      </c>
      <c r="H28" s="352">
        <f>(AVERAGE(G$21:H$21)*AVERAGE(G$15:H$15)*H$25*365)/1000000</f>
        <v/>
      </c>
      <c r="I28" s="353">
        <f>(AVERAGE(H$21:I$21)*AVERAGE(H$15:I$15)*I$25*365)/1000000</f>
        <v/>
      </c>
      <c r="J28" s="353">
        <f>(AVERAGE(I$21:J$21)*AVERAGE(I$15:J$15)*J$25*365)/1000000</f>
        <v/>
      </c>
      <c r="K28" s="352">
        <f>(AVERAGE(J$21:K$21)*AVERAGE(J$15:K$15)*K$25*365)/1000000</f>
        <v/>
      </c>
      <c r="L28" s="352">
        <f>(AVERAGE(K$21:L$21)*AVERAGE(K$15:L$15)*L$25*365)/1000000</f>
        <v/>
      </c>
      <c r="M28" s="352">
        <f>(AVERAGE(L$21:M$21)*AVERAGE(L$15:M$15)*M$25*365)/1000000</f>
        <v/>
      </c>
      <c r="N28" s="352">
        <f>(AVERAGE(M$21:N$21)*AVERAGE(M$15:N$15)*N$25*365)/1000000</f>
        <v/>
      </c>
      <c r="O28" s="352">
        <f>(AVERAGE(N$21:O$21)*AVERAGE(N$15:O$15)*O$25*365)/1000000</f>
        <v/>
      </c>
      <c r="P28" s="352">
        <f>(AVERAGE(O$21:P$21)*AVERAGE(O$15:P$15)*P$25*365)/1000000</f>
        <v/>
      </c>
      <c r="Q28" s="352">
        <f>(AVERAGE(P$21:Q$21)*AVERAGE(P$15:Q$15)*Q$25*365)/1000000</f>
        <v/>
      </c>
      <c r="R28" s="352">
        <f>(AVERAGE(Q$21:R$21)*AVERAGE(Q$15:R$15)*R$25*365)/1000000</f>
        <v/>
      </c>
      <c r="S28" s="91" t="n"/>
    </row>
    <row r="29">
      <c r="B29" s="89" t="n"/>
      <c r="C29" s="248" t="inlineStr">
        <is>
          <t>YoY Adjusted Revenue Growth</t>
        </is>
      </c>
      <c r="D29" s="246" t="n"/>
      <c r="E29" s="281" t="inlineStr">
        <is>
          <t>%</t>
        </is>
      </c>
      <c r="F29" s="354" t="n"/>
      <c r="G29" s="258">
        <f>G28/F28-1</f>
        <v/>
      </c>
      <c r="H29" s="258">
        <f>H28/G28-1</f>
        <v/>
      </c>
      <c r="I29" s="258">
        <f>I28/H28-1</f>
        <v/>
      </c>
      <c r="J29" s="258">
        <f>J28/I28-1</f>
        <v/>
      </c>
      <c r="K29" s="258">
        <f>K28/J28-1</f>
        <v/>
      </c>
      <c r="L29" s="258">
        <f>L28/K28-1</f>
        <v/>
      </c>
      <c r="M29" s="258">
        <f>M28/L28-1</f>
        <v/>
      </c>
      <c r="N29" s="258">
        <f>N28/M28-1</f>
        <v/>
      </c>
      <c r="O29" s="258">
        <f>O28/N28-1</f>
        <v/>
      </c>
      <c r="P29" s="258">
        <f>P28/O28-1</f>
        <v/>
      </c>
      <c r="Q29" s="258">
        <f>Q28/P28-1</f>
        <v/>
      </c>
      <c r="R29" s="258">
        <f>R28/Q28-1</f>
        <v/>
      </c>
      <c r="S29" s="91" t="n"/>
    </row>
    <row r="30">
      <c r="B30" s="89" t="n"/>
      <c r="C30" s="106" t="n"/>
      <c r="D30" s="106" t="n"/>
      <c r="E30" s="106" t="n"/>
      <c r="F30" s="355" t="n"/>
      <c r="G30" s="343" t="n"/>
      <c r="H30" s="343" t="n"/>
      <c r="I30" s="343" t="n"/>
      <c r="J30" s="343" t="n"/>
      <c r="K30" s="343" t="n"/>
      <c r="L30" s="343" t="n"/>
      <c r="M30" s="343" t="n"/>
      <c r="N30" s="344" t="n"/>
      <c r="O30" s="344" t="n"/>
      <c r="P30" s="344" t="n"/>
      <c r="Q30" s="344" t="n"/>
      <c r="R30" s="344" t="n"/>
      <c r="S30" s="91" t="n"/>
      <c r="T30" s="201" t="n"/>
    </row>
    <row r="31">
      <c r="B31" s="89" t="n"/>
      <c r="C31" s="74" t="inlineStr">
        <is>
          <t>Hotel Operating Costs (COGS)</t>
        </is>
      </c>
      <c r="E31" s="114" t="inlineStr">
        <is>
          <t>€m</t>
        </is>
      </c>
      <c r="F31" s="356" t="n">
        <v>319.9</v>
      </c>
      <c r="G31" s="356" t="n">
        <v>324.7</v>
      </c>
      <c r="H31" s="356" t="n">
        <v>324</v>
      </c>
      <c r="I31" s="356">
        <f>I26*I32</f>
        <v/>
      </c>
      <c r="J31" s="356">
        <f>J26*J32</f>
        <v/>
      </c>
      <c r="K31" s="356">
        <f>K26*K32</f>
        <v/>
      </c>
      <c r="L31" s="356">
        <f>L26*L32</f>
        <v/>
      </c>
      <c r="M31" s="356">
        <f>M26*M32</f>
        <v/>
      </c>
      <c r="N31" s="356">
        <f>N26*N32</f>
        <v/>
      </c>
      <c r="O31" s="356">
        <f>O26*O32</f>
        <v/>
      </c>
      <c r="P31" s="356">
        <f>P26*P32</f>
        <v/>
      </c>
      <c r="Q31" s="356">
        <f>Q26*Q32</f>
        <v/>
      </c>
      <c r="R31" s="356">
        <f>R26*R32</f>
        <v/>
      </c>
      <c r="S31" s="91" t="n"/>
    </row>
    <row r="32">
      <c r="B32" s="89" t="n"/>
      <c r="C32" s="125" t="inlineStr">
        <is>
          <t>% of revenue</t>
        </is>
      </c>
      <c r="D32" s="125" t="n"/>
      <c r="E32" s="125" t="n"/>
      <c r="F32" s="357" t="n"/>
      <c r="G32" s="330">
        <f>+G31/G26</f>
        <v/>
      </c>
      <c r="H32" s="330">
        <f>+H31/H26</f>
        <v/>
      </c>
      <c r="I32" s="358">
        <f>H32-'Key Assumptions'!$E$9</f>
        <v/>
      </c>
      <c r="J32" s="358">
        <f>I32-'Key Assumptions'!$E$9</f>
        <v/>
      </c>
      <c r="K32" s="358">
        <f>J32-'Key Assumptions'!$E$9</f>
        <v/>
      </c>
      <c r="L32" s="358">
        <f>K32-'Key Assumptions'!$E$9</f>
        <v/>
      </c>
      <c r="M32" s="358">
        <f>L32-'Key Assumptions'!$E$9</f>
        <v/>
      </c>
      <c r="N32" s="358">
        <f>M32-'Key Assumptions'!$E$11</f>
        <v/>
      </c>
      <c r="O32" s="358">
        <f>N32-'Key Assumptions'!$E$11</f>
        <v/>
      </c>
      <c r="P32" s="358">
        <f>O32-'Key Assumptions'!$E$11</f>
        <v/>
      </c>
      <c r="Q32" s="358">
        <f>P32-'Key Assumptions'!$E$11</f>
        <v/>
      </c>
      <c r="R32" s="358">
        <f>Q32-'Key Assumptions'!$E$11</f>
        <v/>
      </c>
      <c r="S32" s="91" t="inlineStr">
        <is>
          <t>%</t>
        </is>
      </c>
      <c r="T32" s="130" t="n"/>
    </row>
    <row r="33">
      <c r="B33" s="89" t="n"/>
      <c r="C33" s="106" t="n"/>
      <c r="D33" s="106" t="n"/>
      <c r="E33" s="106" t="n"/>
      <c r="F33" s="343" t="n"/>
      <c r="G33" s="343" t="n"/>
      <c r="H33" s="343" t="n"/>
      <c r="I33" s="343" t="n"/>
      <c r="J33" s="343" t="n"/>
      <c r="K33" s="343" t="n"/>
      <c r="L33" s="343" t="n"/>
      <c r="M33" s="343" t="n"/>
      <c r="N33" s="343" t="n"/>
      <c r="O33" s="343" t="n"/>
      <c r="P33" s="343" t="n"/>
      <c r="Q33" s="343" t="n"/>
      <c r="R33" s="343" t="n"/>
      <c r="S33" s="91" t="n"/>
    </row>
    <row r="34">
      <c r="B34" s="89" t="n"/>
      <c r="C34" s="74" t="inlineStr">
        <is>
          <t>SG&amp;A</t>
        </is>
      </c>
      <c r="E34" s="114" t="inlineStr">
        <is>
          <t>€m</t>
        </is>
      </c>
      <c r="F34" s="356" t="n">
        <v>170</v>
      </c>
      <c r="G34" s="356" t="n">
        <v>179</v>
      </c>
      <c r="H34" s="356">
        <f>208</f>
        <v/>
      </c>
      <c r="I34" s="356">
        <f>I26*I35</f>
        <v/>
      </c>
      <c r="J34" s="356">
        <f>J26*J35</f>
        <v/>
      </c>
      <c r="K34" s="356">
        <f>K26*K35</f>
        <v/>
      </c>
      <c r="L34" s="356">
        <f>L26*L35</f>
        <v/>
      </c>
      <c r="M34" s="356">
        <f>M26*M35</f>
        <v/>
      </c>
      <c r="N34" s="356">
        <f>N26*N35</f>
        <v/>
      </c>
      <c r="O34" s="356">
        <f>O26*O35</f>
        <v/>
      </c>
      <c r="P34" s="356">
        <f>P26*P35</f>
        <v/>
      </c>
      <c r="Q34" s="356">
        <f>Q26*Q35</f>
        <v/>
      </c>
      <c r="R34" s="356">
        <f>R26*R35</f>
        <v/>
      </c>
      <c r="S34" s="91" t="n"/>
    </row>
    <row r="35">
      <c r="B35" s="89" t="n"/>
      <c r="C35" s="125" t="inlineStr">
        <is>
          <t>% of revenue</t>
        </is>
      </c>
      <c r="D35" s="125" t="n"/>
      <c r="E35" s="125" t="n"/>
      <c r="F35" s="330">
        <f>F34/F26</f>
        <v/>
      </c>
      <c r="G35" s="330">
        <f>G34/G26</f>
        <v/>
      </c>
      <c r="H35" s="330">
        <f>H34/H26</f>
        <v/>
      </c>
      <c r="I35" s="358">
        <f>H35-'Key Assumptions'!$E$13</f>
        <v/>
      </c>
      <c r="J35" s="358">
        <f>I35-'Key Assumptions'!$E$13</f>
        <v/>
      </c>
      <c r="K35" s="358">
        <f>J35-'Key Assumptions'!$E$13</f>
        <v/>
      </c>
      <c r="L35" s="358">
        <f>K35-'Key Assumptions'!$E$15</f>
        <v/>
      </c>
      <c r="M35" s="358">
        <f>L35-'Key Assumptions'!$E$15</f>
        <v/>
      </c>
      <c r="N35" s="358">
        <f>M35-'Key Assumptions'!$E$15</f>
        <v/>
      </c>
      <c r="O35" s="358">
        <f>N35-'Key Assumptions'!$E$15</f>
        <v/>
      </c>
      <c r="P35" s="358">
        <f>O35-'Key Assumptions'!$E$15</f>
        <v/>
      </c>
      <c r="Q35" s="358">
        <f>P35-'Key Assumptions'!$E$15</f>
        <v/>
      </c>
      <c r="R35" s="358">
        <f>Q35-'Key Assumptions'!$E$15</f>
        <v/>
      </c>
      <c r="S35" s="91" t="n"/>
    </row>
    <row r="36">
      <c r="B36" s="131" t="n"/>
      <c r="F36" s="343" t="n"/>
      <c r="G36" s="343" t="n"/>
      <c r="H36" s="343" t="n"/>
      <c r="I36" s="343" t="n"/>
      <c r="J36" s="343" t="n"/>
      <c r="K36" s="343" t="n"/>
      <c r="L36" s="343" t="n"/>
      <c r="M36" s="343" t="n"/>
      <c r="N36" s="343" t="n"/>
      <c r="O36" s="343" t="n"/>
      <c r="P36" s="343" t="n"/>
      <c r="Q36" s="343" t="n"/>
      <c r="R36" s="343" t="n"/>
      <c r="S36" s="91" t="n"/>
    </row>
    <row r="37">
      <c r="B37" s="131" t="n"/>
      <c r="C37" s="74" t="inlineStr">
        <is>
          <t>Non-Recurring Item (one hotel caught fire)</t>
        </is>
      </c>
      <c r="E37" s="114" t="inlineStr">
        <is>
          <t>€m</t>
        </is>
      </c>
      <c r="F37" s="343" t="n"/>
      <c r="G37" s="343" t="n"/>
      <c r="H37" s="343" t="n"/>
      <c r="I37" s="343" t="n"/>
      <c r="J37" s="343" t="n"/>
      <c r="K37" s="343" t="n"/>
      <c r="L37" s="343" t="n"/>
      <c r="M37" s="343" t="n"/>
      <c r="N37" s="343" t="n"/>
      <c r="O37" s="343" t="n"/>
      <c r="P37" s="343" t="n"/>
      <c r="Q37" s="343" t="n"/>
      <c r="R37" s="343" t="n"/>
      <c r="S37" s="91" t="n"/>
    </row>
    <row r="38">
      <c r="B38" s="131" t="n"/>
      <c r="F38" s="343" t="n"/>
      <c r="G38" s="343" t="n"/>
      <c r="H38" s="343" t="n"/>
      <c r="I38" s="343" t="n"/>
      <c r="J38" s="343" t="n"/>
      <c r="K38" s="343" t="n"/>
      <c r="L38" s="343" t="n"/>
      <c r="M38" s="343" t="n"/>
      <c r="N38" s="343" t="n"/>
      <c r="O38" s="343" t="n"/>
      <c r="P38" s="343" t="n"/>
      <c r="Q38" s="343" t="n"/>
      <c r="R38" s="343" t="n"/>
      <c r="S38" s="91" t="n"/>
    </row>
    <row r="39">
      <c r="B39" s="131" t="n"/>
      <c r="C39" s="74" t="inlineStr">
        <is>
          <t>EBITDA</t>
        </is>
      </c>
      <c r="E39" s="103" t="inlineStr">
        <is>
          <t>€m</t>
        </is>
      </c>
      <c r="F39" s="352">
        <f>+F$26-F$34-F$31</f>
        <v/>
      </c>
      <c r="G39" s="352">
        <f>+G$26-G$34-G$31</f>
        <v/>
      </c>
      <c r="H39" s="352">
        <f>+H$26-H$34-H$31</f>
        <v/>
      </c>
      <c r="I39" s="353">
        <f>+I$26-I$34-I$31</f>
        <v/>
      </c>
      <c r="J39" s="353">
        <f>+J$26-J$34-J$31</f>
        <v/>
      </c>
      <c r="K39" s="352">
        <f>+K$26-K$34-K$31</f>
        <v/>
      </c>
      <c r="L39" s="352">
        <f>+L$26-L$34-L$31</f>
        <v/>
      </c>
      <c r="M39" s="352">
        <f>+M$26-M$34-M$31</f>
        <v/>
      </c>
      <c r="N39" s="352">
        <f>+N$26-N$34-N$31</f>
        <v/>
      </c>
      <c r="O39" s="352">
        <f>+O$26-O$34-O$31</f>
        <v/>
      </c>
      <c r="P39" s="352">
        <f>+P$26-P$34-P$31</f>
        <v/>
      </c>
      <c r="Q39" s="352">
        <f>+Q$26-Q$34-Q$31</f>
        <v/>
      </c>
      <c r="R39" s="352">
        <f>+R$26-R$34-R$31</f>
        <v/>
      </c>
      <c r="S39" s="91" t="n"/>
    </row>
    <row r="40">
      <c r="B40" s="131" t="n"/>
      <c r="C40" s="248" t="inlineStr">
        <is>
          <t>EBITDA Margin</t>
        </is>
      </c>
      <c r="D40" s="246" t="n"/>
      <c r="E40" s="280" t="inlineStr">
        <is>
          <t>%</t>
        </is>
      </c>
      <c r="F40" s="359">
        <f>+F39/F26</f>
        <v/>
      </c>
      <c r="G40" s="359">
        <f>+G39/G26</f>
        <v/>
      </c>
      <c r="H40" s="359">
        <f>+H39/H26</f>
        <v/>
      </c>
      <c r="I40" s="359">
        <f>+I39/I26</f>
        <v/>
      </c>
      <c r="J40" s="359">
        <f>+J39/J26</f>
        <v/>
      </c>
      <c r="K40" s="359">
        <f>+K39/K26</f>
        <v/>
      </c>
      <c r="L40" s="359">
        <f>+L39/L26</f>
        <v/>
      </c>
      <c r="M40" s="359">
        <f>+M39/M26</f>
        <v/>
      </c>
      <c r="N40" s="359">
        <f>+N39/N26</f>
        <v/>
      </c>
      <c r="O40" s="359">
        <f>+O39/O26</f>
        <v/>
      </c>
      <c r="P40" s="359">
        <f>+P39/P26</f>
        <v/>
      </c>
      <c r="Q40" s="359">
        <f>+Q39/Q26</f>
        <v/>
      </c>
      <c r="R40" s="359">
        <f>+R39/R26</f>
        <v/>
      </c>
      <c r="S40" s="91" t="n"/>
    </row>
    <row r="41">
      <c r="B41" s="131" t="n"/>
      <c r="C41" s="8" t="inlineStr">
        <is>
          <t>Ajusted EBITDA</t>
        </is>
      </c>
      <c r="D41" s="8" t="n"/>
      <c r="E41" s="279" t="inlineStr">
        <is>
          <t>€m</t>
        </is>
      </c>
      <c r="F41" s="352">
        <f>F39+(F28-F26)*F40</f>
        <v/>
      </c>
      <c r="G41" s="352">
        <f>G39+(G28-G26)*G40</f>
        <v/>
      </c>
      <c r="H41" s="352">
        <f>H39+(H28-H26)*H40</f>
        <v/>
      </c>
      <c r="I41" s="353">
        <f>I39+(I28-I26)*I40</f>
        <v/>
      </c>
      <c r="J41" s="353">
        <f>J39+(J28-J26)*J40</f>
        <v/>
      </c>
      <c r="K41" s="352">
        <f>K39+(K28-K26)*K40</f>
        <v/>
      </c>
      <c r="L41" s="352">
        <f>L39+(L28-L26)*L40</f>
        <v/>
      </c>
      <c r="M41" s="352">
        <f>M39+(M28-M26)*M40</f>
        <v/>
      </c>
      <c r="N41" s="352">
        <f>N39+(N28-N26)*N40</f>
        <v/>
      </c>
      <c r="O41" s="352">
        <f>O39+(O28-O26)*O40</f>
        <v/>
      </c>
      <c r="P41" s="352">
        <f>P39+(P28-P26)*P40</f>
        <v/>
      </c>
      <c r="Q41" s="352">
        <f>Q39+(Q28-Q26)*Q40</f>
        <v/>
      </c>
      <c r="R41" s="352">
        <f>R39+(R28-R26)*R40</f>
        <v/>
      </c>
      <c r="S41" s="91" t="n"/>
    </row>
    <row r="42">
      <c r="B42" s="131" t="n"/>
      <c r="C42" s="248" t="inlineStr">
        <is>
          <t>Adjusted EBITDA Margin</t>
        </is>
      </c>
      <c r="D42" s="246" t="n"/>
      <c r="E42" s="280" t="inlineStr">
        <is>
          <t>%</t>
        </is>
      </c>
      <c r="F42" s="359">
        <f>+F41/F28</f>
        <v/>
      </c>
      <c r="G42" s="359">
        <f>+G41/G28</f>
        <v/>
      </c>
      <c r="H42" s="359">
        <f>+H41/H28</f>
        <v/>
      </c>
      <c r="I42" s="359">
        <f>+I41/I28</f>
        <v/>
      </c>
      <c r="J42" s="359">
        <f>+J41/J28</f>
        <v/>
      </c>
      <c r="K42" s="359">
        <f>+K41/K28</f>
        <v/>
      </c>
      <c r="L42" s="359">
        <f>+L41/L28</f>
        <v/>
      </c>
      <c r="M42" s="359">
        <f>+M41/M28</f>
        <v/>
      </c>
      <c r="N42" s="359">
        <f>+N41/N28</f>
        <v/>
      </c>
      <c r="O42" s="359">
        <f>+O41/O28</f>
        <v/>
      </c>
      <c r="P42" s="359">
        <f>+P41/P28</f>
        <v/>
      </c>
      <c r="Q42" s="359">
        <f>+Q41/Q28</f>
        <v/>
      </c>
      <c r="R42" s="359">
        <f>+R41/R28</f>
        <v/>
      </c>
      <c r="S42" s="91" t="n"/>
    </row>
    <row r="43">
      <c r="B43" s="89" t="n"/>
      <c r="F43" s="92" t="n"/>
      <c r="G43" s="351" t="n"/>
      <c r="H43" s="351" t="n"/>
      <c r="I43" s="360" t="n"/>
      <c r="J43" s="360" t="n"/>
      <c r="K43" s="360" t="n"/>
      <c r="L43" s="360" t="n"/>
      <c r="M43" s="360" t="n"/>
      <c r="N43" s="360" t="n"/>
      <c r="O43" s="360" t="n"/>
      <c r="P43" s="360" t="n"/>
      <c r="Q43" s="360" t="n"/>
      <c r="R43" s="360" t="n"/>
      <c r="S43" s="91" t="n"/>
    </row>
    <row r="44">
      <c r="B44" s="89" t="n"/>
      <c r="C44" s="74" t="inlineStr">
        <is>
          <t>Interest</t>
        </is>
      </c>
      <c r="E44" s="114" t="inlineStr">
        <is>
          <t>€m</t>
        </is>
      </c>
      <c r="F44" s="356" t="n"/>
      <c r="G44" s="356" t="n"/>
      <c r="H44" s="356" t="n"/>
      <c r="I44" s="361">
        <f>$D$59*($D$60+$D$61)</f>
        <v/>
      </c>
      <c r="J44" s="362">
        <f>$D$59*($D$60+$D$61)</f>
        <v/>
      </c>
      <c r="K44" s="362">
        <f>$D$59*($D$60+$D$61)</f>
        <v/>
      </c>
      <c r="L44" s="362">
        <f>$D$59*($D$60+$D$61)</f>
        <v/>
      </c>
      <c r="M44" s="362">
        <f>$D$59*($D$60+$D$61)</f>
        <v/>
      </c>
      <c r="N44" s="362">
        <f>$D$59*($D$60+$D$61)</f>
        <v/>
      </c>
      <c r="O44" s="362">
        <f>$D$59*($D$60+$D$61)</f>
        <v/>
      </c>
      <c r="P44" s="362">
        <f>$D$59*($D$60+$D$61)</f>
        <v/>
      </c>
      <c r="Q44" s="362">
        <f>$D$59*($D$60+$D$61)</f>
        <v/>
      </c>
      <c r="R44" s="362">
        <f>$D$59*($D$60+$D$61)</f>
        <v/>
      </c>
      <c r="S44" s="91" t="n"/>
    </row>
    <row r="45">
      <c r="B45" s="89" t="n"/>
      <c r="F45" s="363" t="n"/>
      <c r="G45" s="363" t="n"/>
      <c r="H45" s="363" t="n"/>
      <c r="I45" s="364" t="n"/>
      <c r="J45" s="364" t="n"/>
      <c r="K45" s="364" t="n"/>
      <c r="L45" s="364" t="n"/>
      <c r="M45" s="364" t="n"/>
      <c r="N45" s="364" t="n"/>
      <c r="O45" s="364" t="n"/>
      <c r="P45" s="364" t="n"/>
      <c r="Q45" s="364" t="n"/>
      <c r="R45" s="364" t="n"/>
      <c r="S45" s="91" t="n"/>
      <c r="V45" s="103" t="n"/>
      <c r="W45" s="103" t="n"/>
    </row>
    <row r="46">
      <c r="B46" s="89" t="n"/>
      <c r="C46" s="74" t="inlineStr">
        <is>
          <t>D&amp;A</t>
        </is>
      </c>
      <c r="E46" s="114" t="inlineStr">
        <is>
          <t>€m</t>
        </is>
      </c>
      <c r="F46" s="365" t="n"/>
      <c r="G46" s="365" t="n"/>
      <c r="H46" s="365" t="n"/>
      <c r="I46" s="366" t="n">
        <v>41.7</v>
      </c>
      <c r="J46" s="366" t="n">
        <v>42.5</v>
      </c>
      <c r="K46" s="366" t="n">
        <v>43.3</v>
      </c>
      <c r="L46" s="366" t="n">
        <v>44.2</v>
      </c>
      <c r="M46" s="366" t="n">
        <v>45</v>
      </c>
      <c r="N46" s="366" t="n">
        <v>45.9</v>
      </c>
      <c r="O46" s="366" t="n">
        <v>46.8</v>
      </c>
      <c r="P46" s="366" t="n">
        <v>47.8</v>
      </c>
      <c r="Q46" s="366" t="n">
        <v>48.7</v>
      </c>
      <c r="R46" s="367" t="n">
        <v>49.7</v>
      </c>
      <c r="S46" s="91" t="n"/>
    </row>
    <row r="47">
      <c r="B47" s="89" t="n"/>
      <c r="C47" s="137" t="n"/>
      <c r="D47" s="137" t="n"/>
      <c r="E47" s="137" t="n"/>
      <c r="F47" s="368" t="n"/>
      <c r="G47" s="368" t="n"/>
      <c r="H47" s="368" t="n"/>
      <c r="I47" s="138" t="n"/>
      <c r="J47" s="138" t="n"/>
      <c r="K47" s="138" t="n"/>
      <c r="L47" s="138" t="n"/>
      <c r="M47" s="138" t="n"/>
      <c r="N47" s="369" t="n"/>
      <c r="O47" s="369" t="n"/>
      <c r="P47" s="369" t="n"/>
      <c r="Q47" s="369" t="n"/>
      <c r="R47" s="369" t="n"/>
      <c r="S47" s="91" t="n"/>
    </row>
    <row r="48">
      <c r="B48" s="89" t="n"/>
      <c r="C48" s="140" t="inlineStr">
        <is>
          <t>Earnings Before Tax (EBT)</t>
        </is>
      </c>
      <c r="D48" s="140" t="n"/>
      <c r="E48" s="121" t="inlineStr">
        <is>
          <t>€m</t>
        </is>
      </c>
      <c r="F48" s="370">
        <f>+F41-F44-F46</f>
        <v/>
      </c>
      <c r="G48" s="370">
        <f>+G41-G44-G46</f>
        <v/>
      </c>
      <c r="H48" s="370">
        <f>+H41-H44-H46</f>
        <v/>
      </c>
      <c r="I48" s="370">
        <f>+I41-I44-I46</f>
        <v/>
      </c>
      <c r="J48" s="370">
        <f>+J41-J44-J46</f>
        <v/>
      </c>
      <c r="K48" s="370">
        <f>+K41-K44-K46</f>
        <v/>
      </c>
      <c r="L48" s="370">
        <f>+L41-L44-L46</f>
        <v/>
      </c>
      <c r="M48" s="370">
        <f>+M41-M44-M46</f>
        <v/>
      </c>
      <c r="N48" s="370">
        <f>+N41-N44-N46</f>
        <v/>
      </c>
      <c r="O48" s="370">
        <f>+O41-O44-O46</f>
        <v/>
      </c>
      <c r="P48" s="370">
        <f>+P41-P44-P46</f>
        <v/>
      </c>
      <c r="Q48" s="370">
        <f>+Q41-Q44-Q46</f>
        <v/>
      </c>
      <c r="R48" s="370">
        <f>+R41-R44-R46</f>
        <v/>
      </c>
      <c r="S48" s="91" t="n"/>
    </row>
    <row r="49">
      <c r="B49" s="89" t="n"/>
      <c r="C49" s="11" t="n"/>
      <c r="D49" s="11" t="n"/>
      <c r="E49" s="11" t="n"/>
      <c r="F49" s="371" t="n"/>
      <c r="G49" s="371" t="n"/>
      <c r="H49" s="371" t="n"/>
      <c r="I49" s="372" t="n"/>
      <c r="J49" s="372" t="n"/>
      <c r="K49" s="372" t="n"/>
      <c r="L49" s="372" t="n"/>
      <c r="M49" s="372" t="n"/>
      <c r="N49" s="372" t="n"/>
      <c r="O49" s="372" t="n"/>
      <c r="P49" s="372" t="n"/>
      <c r="Q49" s="372" t="n"/>
      <c r="R49" s="372" t="n"/>
      <c r="S49" s="91" t="n"/>
    </row>
    <row r="50" ht="18" customHeight="1">
      <c r="B50" s="89" t="n"/>
      <c r="C50" s="74" t="inlineStr">
        <is>
          <t>Tax   (Enter Italian Corporate Tax Rate)</t>
        </is>
      </c>
      <c r="D50" s="373" t="n">
        <v>0.24</v>
      </c>
      <c r="E50" s="114" t="inlineStr">
        <is>
          <t>€m</t>
        </is>
      </c>
      <c r="F50" s="374" t="n"/>
      <c r="G50" s="374" t="n"/>
      <c r="H50" s="374" t="n"/>
      <c r="I50" s="375">
        <f>I48*$D$50</f>
        <v/>
      </c>
      <c r="J50" s="375">
        <f>J48*$D$50</f>
        <v/>
      </c>
      <c r="K50" s="375">
        <f>K48*$D$50</f>
        <v/>
      </c>
      <c r="L50" s="375">
        <f>L48*$D$50</f>
        <v/>
      </c>
      <c r="M50" s="375">
        <f>M48*$D$50</f>
        <v/>
      </c>
      <c r="N50" s="375">
        <f>N48*$D$50</f>
        <v/>
      </c>
      <c r="O50" s="375">
        <f>O48*$D$50</f>
        <v/>
      </c>
      <c r="P50" s="375">
        <f>P48*$D$50</f>
        <v/>
      </c>
      <c r="Q50" s="375">
        <f>Q48*$D$50</f>
        <v/>
      </c>
      <c r="R50" s="375">
        <f>R48*$D$50</f>
        <v/>
      </c>
      <c r="S50" s="91" t="n"/>
      <c r="T50" s="145" t="n"/>
    </row>
    <row r="51">
      <c r="B51" s="89" t="n"/>
      <c r="C51" s="137" t="n"/>
      <c r="D51" s="137" t="n"/>
      <c r="E51" s="137" t="n"/>
      <c r="F51" s="376" t="n"/>
      <c r="G51" s="376" t="n"/>
      <c r="H51" s="376" t="n"/>
      <c r="I51" s="377" t="n"/>
      <c r="J51" s="377" t="n"/>
      <c r="K51" s="377" t="n"/>
      <c r="L51" s="377" t="n"/>
      <c r="M51" s="377" t="n"/>
      <c r="N51" s="377" t="n"/>
      <c r="O51" s="377" t="n"/>
      <c r="P51" s="377" t="n"/>
      <c r="Q51" s="377" t="n"/>
      <c r="R51" s="377" t="n"/>
      <c r="S51" s="91" t="n"/>
    </row>
    <row r="52">
      <c r="B52" s="89" t="n"/>
      <c r="C52" s="140" t="inlineStr">
        <is>
          <t>Net Income</t>
        </is>
      </c>
      <c r="D52" s="140" t="n"/>
      <c r="E52" s="121" t="inlineStr">
        <is>
          <t>€m</t>
        </is>
      </c>
      <c r="F52" s="378" t="n"/>
      <c r="G52" s="378" t="n"/>
      <c r="H52" s="378" t="n"/>
      <c r="I52" s="370">
        <f>I48-I50</f>
        <v/>
      </c>
      <c r="J52" s="370">
        <f>J48-J50</f>
        <v/>
      </c>
      <c r="K52" s="370">
        <f>K48-K50</f>
        <v/>
      </c>
      <c r="L52" s="370">
        <f>L48-L50</f>
        <v/>
      </c>
      <c r="M52" s="370">
        <f>M48-M50</f>
        <v/>
      </c>
      <c r="N52" s="370">
        <f>N48-N50</f>
        <v/>
      </c>
      <c r="O52" s="370">
        <f>O48-O50</f>
        <v/>
      </c>
      <c r="P52" s="370">
        <f>P48-P50</f>
        <v/>
      </c>
      <c r="Q52" s="370">
        <f>Q48-Q50</f>
        <v/>
      </c>
      <c r="R52" s="370">
        <f>R48-R50</f>
        <v/>
      </c>
      <c r="S52" s="91" t="n"/>
    </row>
    <row r="53">
      <c r="B53" s="147" t="n"/>
      <c r="C53" s="245" t="inlineStr">
        <is>
          <t>Net Income Margin</t>
        </is>
      </c>
      <c r="D53" s="36" t="n"/>
      <c r="E53" s="278" t="inlineStr">
        <is>
          <t>%</t>
        </is>
      </c>
      <c r="F53" s="379" t="n"/>
      <c r="G53" s="379" t="n"/>
      <c r="H53" s="379" t="n"/>
      <c r="I53" s="244">
        <f>I52/I26</f>
        <v/>
      </c>
      <c r="J53" s="244">
        <f>J52/J26</f>
        <v/>
      </c>
      <c r="K53" s="244">
        <f>K52/K26</f>
        <v/>
      </c>
      <c r="L53" s="244">
        <f>L52/L26</f>
        <v/>
      </c>
      <c r="M53" s="244">
        <f>M52/M26</f>
        <v/>
      </c>
      <c r="N53" s="244">
        <f>N52/N26</f>
        <v/>
      </c>
      <c r="O53" s="244">
        <f>O52/O26</f>
        <v/>
      </c>
      <c r="P53" s="244">
        <f>P52/P26</f>
        <v/>
      </c>
      <c r="Q53" s="244">
        <f>Q52/Q26</f>
        <v/>
      </c>
      <c r="R53" s="244">
        <f>R52/R26</f>
        <v/>
      </c>
      <c r="S53" s="150" t="n"/>
    </row>
    <row r="54">
      <c r="C54" s="11" t="n"/>
      <c r="D54" s="11" t="n"/>
      <c r="E54" s="123" t="n"/>
      <c r="F54" s="380" t="n"/>
      <c r="G54" s="380" t="n"/>
      <c r="H54" s="380" t="n"/>
      <c r="I54" s="380" t="n"/>
      <c r="J54" s="380" t="n"/>
      <c r="K54" s="380" t="n"/>
      <c r="L54" s="380" t="n"/>
      <c r="M54" s="380" t="n"/>
      <c r="N54" s="380" t="n"/>
      <c r="O54" s="380" t="n"/>
      <c r="P54" s="380" t="n"/>
      <c r="Q54" s="380" t="n"/>
      <c r="R54" s="380" t="n"/>
    </row>
    <row r="55">
      <c r="B55" s="152" t="n"/>
      <c r="C55" s="140" t="n"/>
      <c r="D55" s="140" t="n"/>
      <c r="E55" s="148" t="n"/>
      <c r="F55" s="381" t="n"/>
      <c r="G55" s="381" t="n"/>
      <c r="H55" s="381" t="n"/>
      <c r="I55" s="381" t="n"/>
      <c r="J55" s="381" t="n"/>
      <c r="K55" s="381" t="n"/>
      <c r="L55" s="381" t="n"/>
      <c r="M55" s="381" t="n"/>
      <c r="N55" s="381" t="n"/>
      <c r="O55" s="381" t="n"/>
      <c r="P55" s="381" t="n"/>
      <c r="Q55" s="381" t="n"/>
      <c r="R55" s="381" t="n"/>
      <c r="S55" s="152" t="n"/>
    </row>
    <row r="56">
      <c r="B56" s="89" t="n"/>
      <c r="F56" s="382" t="n"/>
      <c r="G56" s="382" t="n"/>
      <c r="H56" s="382" t="n"/>
      <c r="I56" s="364" t="n"/>
      <c r="J56" s="364" t="n"/>
      <c r="K56" s="364" t="n"/>
      <c r="L56" s="364" t="n"/>
      <c r="M56" s="364" t="n"/>
      <c r="N56" s="364" t="n"/>
      <c r="O56" s="364" t="n"/>
      <c r="P56" s="364" t="n"/>
      <c r="Q56" s="364" t="n"/>
      <c r="R56" s="364" t="n"/>
      <c r="S56" s="91" t="n"/>
    </row>
    <row r="57">
      <c r="B57" s="40" t="inlineStr">
        <is>
          <t>1b. DCM Table:</t>
        </is>
      </c>
      <c r="C57" s="29" t="n"/>
      <c r="D57" s="29" t="n"/>
      <c r="E57" s="29" t="n"/>
      <c r="F57" s="29" t="n"/>
      <c r="G57" s="51" t="n"/>
      <c r="H57" s="29" t="n"/>
      <c r="I57" s="29" t="n"/>
      <c r="J57" s="29" t="n"/>
      <c r="K57" s="29" t="n"/>
      <c r="L57" s="29" t="n"/>
      <c r="M57" s="29" t="n"/>
      <c r="N57" s="29" t="n"/>
      <c r="O57" s="29" t="n"/>
      <c r="P57" s="29" t="n"/>
      <c r="Q57" s="29" t="n"/>
      <c r="R57" s="29" t="n"/>
      <c r="S57" s="96" t="n"/>
    </row>
    <row r="58">
      <c r="B58" s="24" t="n"/>
      <c r="C58" s="10" t="n"/>
      <c r="D58" s="10" t="n"/>
      <c r="E58" s="10" t="n"/>
      <c r="F58" s="10" t="n"/>
      <c r="G58" s="17" t="n"/>
      <c r="H58" s="11" t="n"/>
      <c r="I58" s="11" t="n"/>
      <c r="J58" s="11" t="n"/>
      <c r="K58" s="11" t="n"/>
      <c r="L58" s="11" t="n"/>
      <c r="M58" s="11" t="n"/>
      <c r="N58" s="10" t="n"/>
      <c r="O58" s="10" t="n"/>
      <c r="P58" s="10" t="n"/>
      <c r="Q58" s="10" t="n"/>
      <c r="S58" s="91" t="n"/>
    </row>
    <row r="59">
      <c r="B59" s="24" t="n"/>
      <c r="C59" s="329" t="inlineStr">
        <is>
          <t>Debt (Term Loan B) Amount</t>
        </is>
      </c>
      <c r="D59" s="28" t="n">
        <v>756.1</v>
      </c>
      <c r="E59" s="114" t="inlineStr">
        <is>
          <t>€m</t>
        </is>
      </c>
      <c r="F59" s="10" t="n"/>
      <c r="G59" s="17" t="n"/>
      <c r="H59" s="11" t="n"/>
      <c r="I59" s="11" t="n"/>
      <c r="J59" s="11" t="n"/>
      <c r="K59" s="11" t="n"/>
      <c r="L59" s="11" t="n"/>
      <c r="M59" s="11" t="n"/>
      <c r="N59" s="10" t="n"/>
      <c r="O59" s="10" t="n"/>
      <c r="P59" s="10" t="n"/>
      <c r="Q59" s="10" t="n"/>
      <c r="S59" s="91" t="n"/>
    </row>
    <row r="60">
      <c r="B60" s="89" t="n"/>
      <c r="C60" s="329" t="inlineStr">
        <is>
          <t>TLB Interest Premium</t>
        </is>
      </c>
      <c r="D60" s="154" t="n">
        <v>0.036</v>
      </c>
      <c r="E60" s="103" t="inlineStr">
        <is>
          <t>%</t>
        </is>
      </c>
      <c r="G60" s="383" t="n"/>
      <c r="H60" s="384" t="n"/>
      <c r="J60" s="11" t="n"/>
      <c r="K60" s="52" t="n"/>
      <c r="L60" s="52" t="n"/>
      <c r="M60" s="52" t="n"/>
      <c r="N60" s="17" t="n"/>
      <c r="S60" s="91" t="n"/>
    </row>
    <row r="61">
      <c r="B61" s="61" t="n"/>
      <c r="C61" s="329" t="inlineStr">
        <is>
          <t>EURIBOR</t>
        </is>
      </c>
      <c r="D61" s="385" t="n">
        <v>0.02218</v>
      </c>
      <c r="E61" s="103" t="inlineStr">
        <is>
          <t>%</t>
        </is>
      </c>
      <c r="G61" s="17" t="n"/>
      <c r="H61" s="11" t="n"/>
      <c r="I61" s="11" t="n"/>
      <c r="J61" s="11" t="inlineStr">
        <is>
          <t xml:space="preserve">                 </t>
        </is>
      </c>
      <c r="K61" s="55" t="n"/>
      <c r="L61" s="55" t="n"/>
      <c r="M61" s="55" t="n"/>
      <c r="N61" s="158" t="n"/>
      <c r="S61" s="91" t="n"/>
      <c r="T61" s="159" t="inlineStr">
        <is>
          <t>Euribor rates - all information on Euribor</t>
        </is>
      </c>
    </row>
    <row r="62">
      <c r="B62" s="61" t="n"/>
      <c r="C62" s="329" t="inlineStr">
        <is>
          <t>Debt/EBITDA</t>
        </is>
      </c>
      <c r="D62" s="220">
        <f>D59/H41</f>
        <v/>
      </c>
      <c r="E62" s="103" t="inlineStr">
        <is>
          <t>x</t>
        </is>
      </c>
      <c r="G62" s="17" t="n"/>
      <c r="H62" s="11" t="n"/>
      <c r="I62" s="11" t="n"/>
      <c r="J62" s="11" t="n"/>
      <c r="K62" s="55" t="n"/>
      <c r="L62" s="55" t="n"/>
      <c r="M62" s="55" t="n"/>
      <c r="N62" s="158" t="n"/>
      <c r="S62" s="91" t="n"/>
      <c r="T62" s="159" t="n"/>
    </row>
    <row r="63">
      <c r="B63" s="160" t="n"/>
      <c r="C63" s="306" t="n"/>
      <c r="D63" s="306" t="n"/>
      <c r="E63" s="152" t="n"/>
      <c r="F63" s="152" t="n"/>
      <c r="G63" s="161" t="n"/>
      <c r="H63" s="152" t="n"/>
      <c r="I63" s="162" t="n"/>
      <c r="J63" s="163" t="n"/>
      <c r="K63" s="164" t="n"/>
      <c r="L63" s="164" t="n"/>
      <c r="M63" s="164" t="n"/>
      <c r="N63" s="164" t="n"/>
      <c r="O63" s="152" t="n"/>
      <c r="P63" s="152" t="n"/>
      <c r="Q63" s="152" t="n"/>
      <c r="R63" s="152" t="n"/>
      <c r="S63" s="150" t="n"/>
    </row>
    <row r="64">
      <c r="B64" s="65" t="n"/>
      <c r="G64" s="103" t="n"/>
      <c r="I64" s="165" t="n"/>
      <c r="J64" s="166" t="n"/>
      <c r="K64" s="158" t="n"/>
      <c r="L64" s="158" t="n"/>
      <c r="M64" s="158" t="n"/>
      <c r="N64" s="158" t="n"/>
    </row>
    <row r="65">
      <c r="B65" s="37" t="n"/>
      <c r="E65" s="152" t="n"/>
      <c r="F65" s="152" t="n"/>
      <c r="G65" s="161" t="n"/>
      <c r="H65" s="152" t="n"/>
      <c r="I65" s="162" t="n"/>
      <c r="J65" s="163" t="n"/>
      <c r="K65" s="164" t="n"/>
      <c r="L65" s="164" t="n"/>
      <c r="M65" s="164" t="n"/>
      <c r="N65" s="164" t="n"/>
      <c r="O65" s="152" t="n"/>
      <c r="P65" s="152" t="n"/>
      <c r="Q65" s="152" t="n"/>
      <c r="R65" s="152" t="n"/>
      <c r="S65" s="152" t="n"/>
    </row>
    <row r="66">
      <c r="B66" s="89" t="n"/>
      <c r="C66" s="307" t="n"/>
      <c r="D66" s="307" t="n"/>
      <c r="G66" s="103" t="n"/>
      <c r="K66" s="17" t="n"/>
      <c r="L66" s="17" t="n"/>
      <c r="M66" s="17" t="n"/>
      <c r="S66" s="91" t="n"/>
    </row>
    <row r="67">
      <c r="B67" s="89" t="n"/>
      <c r="D67" s="386" t="n"/>
      <c r="G67" s="103" t="n"/>
      <c r="K67" s="17" t="n"/>
      <c r="L67" s="17" t="n"/>
      <c r="M67" s="17" t="n"/>
      <c r="S67" s="91" t="n"/>
    </row>
    <row r="68">
      <c r="B68" s="40" t="inlineStr">
        <is>
          <t>1c. Working Capital, Capex, Free Cash Flow &amp; DCF Valuation:</t>
        </is>
      </c>
      <c r="C68" s="29" t="n"/>
      <c r="D68" s="29" t="n"/>
      <c r="E68" s="29" t="n"/>
      <c r="F68" s="29" t="n"/>
      <c r="G68" s="51" t="n"/>
      <c r="H68" s="29" t="n"/>
      <c r="I68" s="29" t="n"/>
      <c r="J68" s="29" t="n"/>
      <c r="K68" s="29" t="n"/>
      <c r="L68" s="29" t="n"/>
      <c r="M68" s="29" t="n"/>
      <c r="N68" s="29" t="n"/>
      <c r="O68" s="29" t="n"/>
      <c r="P68" s="29" t="n"/>
      <c r="Q68" s="29" t="n"/>
      <c r="R68" s="29" t="n"/>
      <c r="S68" s="96" t="n"/>
    </row>
    <row r="69">
      <c r="B69" s="89" t="n"/>
      <c r="F69" s="382" t="n"/>
      <c r="G69" s="382" t="n"/>
      <c r="H69" s="382" t="n"/>
      <c r="I69" s="364" t="n"/>
      <c r="J69" s="364" t="n"/>
      <c r="K69" s="364" t="n"/>
      <c r="L69" s="364" t="n"/>
      <c r="M69" s="364" t="n"/>
      <c r="N69" s="364" t="n"/>
      <c r="O69" s="364" t="n"/>
      <c r="P69" s="364" t="n"/>
      <c r="Q69" s="364" t="n"/>
      <c r="R69" s="364" t="n"/>
      <c r="S69" s="91" t="n"/>
    </row>
    <row r="70">
      <c r="B70" s="89" t="n"/>
      <c r="C70" s="30" t="n"/>
      <c r="D70" s="30" t="n"/>
      <c r="E70" s="30" t="n"/>
      <c r="F70" s="326" t="inlineStr">
        <is>
          <t>Historical</t>
        </is>
      </c>
      <c r="G70" s="340" t="n"/>
      <c r="H70" s="341" t="n"/>
      <c r="I70" s="97" t="inlineStr">
        <is>
          <t>Growth Phase</t>
        </is>
      </c>
      <c r="J70" s="25" t="n"/>
      <c r="K70" s="25" t="n"/>
      <c r="L70" s="25" t="n"/>
      <c r="M70" s="25" t="n"/>
      <c r="N70" s="327" t="inlineStr">
        <is>
          <t>Steady State Phase</t>
        </is>
      </c>
      <c r="O70" s="340" t="n"/>
      <c r="P70" s="340" t="n"/>
      <c r="Q70" s="340" t="n"/>
      <c r="R70" s="340" t="n"/>
      <c r="S70" s="91" t="n"/>
    </row>
    <row r="71">
      <c r="B71" s="89" t="n"/>
      <c r="C71" s="30" t="n"/>
      <c r="D71" s="30" t="n"/>
      <c r="E71" s="30" t="inlineStr">
        <is>
          <t>Units:</t>
        </is>
      </c>
      <c r="F71" s="30" t="n">
        <v>2021</v>
      </c>
      <c r="G71" s="30" t="n">
        <v>2022</v>
      </c>
      <c r="H71" s="27" t="n">
        <v>2023</v>
      </c>
      <c r="I71" s="98" t="n">
        <v>2024</v>
      </c>
      <c r="J71" s="30" t="n">
        <v>2025</v>
      </c>
      <c r="K71" s="30" t="n">
        <v>2026</v>
      </c>
      <c r="L71" s="30" t="n">
        <v>2027</v>
      </c>
      <c r="M71" s="30" t="n">
        <v>2028</v>
      </c>
      <c r="N71" s="99" t="n">
        <v>2029</v>
      </c>
      <c r="O71" s="30" t="n">
        <v>2030</v>
      </c>
      <c r="P71" s="30" t="n">
        <v>2031</v>
      </c>
      <c r="Q71" s="30" t="n">
        <v>2032</v>
      </c>
      <c r="R71" s="30" t="n">
        <v>2033</v>
      </c>
      <c r="S71" s="91" t="n"/>
    </row>
    <row r="72">
      <c r="B72" s="89" t="n"/>
      <c r="F72" s="382" t="n"/>
      <c r="G72" s="382" t="n"/>
      <c r="H72" s="382" t="n"/>
      <c r="I72" s="364" t="n"/>
      <c r="J72" s="364" t="n"/>
      <c r="K72" s="364" t="n"/>
      <c r="L72" s="364" t="n"/>
      <c r="M72" s="364" t="n"/>
      <c r="N72" s="364" t="n"/>
      <c r="O72" s="364" t="n"/>
      <c r="P72" s="364" t="n"/>
      <c r="Q72" s="364" t="n"/>
      <c r="R72" s="364" t="n"/>
      <c r="S72" s="91" t="n"/>
    </row>
    <row r="73">
      <c r="B73" s="89" t="n"/>
      <c r="C73" s="168" t="inlineStr">
        <is>
          <t>Capex:</t>
        </is>
      </c>
      <c r="D73" s="168" t="n"/>
      <c r="E73" s="387" t="n"/>
      <c r="F73" s="382" t="n"/>
      <c r="H73" s="382" t="n"/>
      <c r="I73" s="364" t="n"/>
      <c r="J73" s="364" t="n"/>
      <c r="K73" s="364" t="n"/>
      <c r="L73" s="364" t="n"/>
      <c r="M73" s="364" t="n"/>
      <c r="N73" s="364" t="n"/>
      <c r="O73" s="364" t="n"/>
      <c r="P73" s="364" t="n"/>
      <c r="Q73" s="364" t="n"/>
      <c r="R73" s="364" t="n"/>
      <c r="S73" s="91" t="n"/>
      <c r="T73" s="74" t="inlineStr">
        <is>
          <t>Maintenance capex --&gt; they did as % of revenues --&gt; but not based on refurbishments etc</t>
        </is>
      </c>
    </row>
    <row r="74">
      <c r="B74" s="89" t="n"/>
      <c r="C74" s="74" t="inlineStr">
        <is>
          <t xml:space="preserve">Growth </t>
        </is>
      </c>
      <c r="E74" s="114" t="inlineStr">
        <is>
          <t>€m</t>
        </is>
      </c>
      <c r="F74" s="356" t="n">
        <v>-2</v>
      </c>
      <c r="G74" s="356">
        <f>-54</f>
        <v/>
      </c>
      <c r="H74" s="356">
        <f>-60</f>
        <v/>
      </c>
      <c r="I74" s="388">
        <f>I83*(I15-H15)</f>
        <v/>
      </c>
      <c r="J74" s="388">
        <f>J83*(J15-I15)</f>
        <v/>
      </c>
      <c r="K74" s="388">
        <f>K83*(K15-J15)</f>
        <v/>
      </c>
      <c r="L74" s="388">
        <f>L83*(L15-K15)</f>
        <v/>
      </c>
      <c r="M74" s="388">
        <f>M83*(M15-L15)</f>
        <v/>
      </c>
      <c r="N74" s="389">
        <f>N83*(N15-M15)</f>
        <v/>
      </c>
      <c r="O74" s="389">
        <f>O83*(O15-N15)</f>
        <v/>
      </c>
      <c r="P74" s="389">
        <f>P83*(P15-O15)</f>
        <v/>
      </c>
      <c r="Q74" s="389">
        <f>Q83*(Q15-P15)</f>
        <v/>
      </c>
      <c r="R74" s="389">
        <f>R83*(R15-Q15)</f>
        <v/>
      </c>
      <c r="S74" s="91" t="n"/>
      <c r="T74" s="74" t="inlineStr">
        <is>
          <t>cost per hotel, multiplied by number of hotels</t>
        </is>
      </c>
    </row>
    <row r="75">
      <c r="B75" s="89" t="n"/>
      <c r="C75" s="74" t="inlineStr">
        <is>
          <t>Total Maintenance</t>
        </is>
      </c>
      <c r="E75" s="114" t="inlineStr">
        <is>
          <t>€m</t>
        </is>
      </c>
      <c r="F75" s="356" t="n">
        <v>-26.7</v>
      </c>
      <c r="G75" s="356" t="n">
        <v>-28.4</v>
      </c>
      <c r="H75" s="356" t="n">
        <v>-31.2</v>
      </c>
      <c r="I75" s="390">
        <f>SUM(I76:I78)</f>
        <v/>
      </c>
      <c r="J75" s="390">
        <f>SUM(J76:J78)</f>
        <v/>
      </c>
      <c r="K75" s="390">
        <f>SUM(K76:K78)</f>
        <v/>
      </c>
      <c r="L75" s="390">
        <f>SUM(L76:L78)</f>
        <v/>
      </c>
      <c r="M75" s="390">
        <f>SUM(M76:M78)</f>
        <v/>
      </c>
      <c r="N75" s="389">
        <f>SUM(N76:N78)</f>
        <v/>
      </c>
      <c r="O75" s="389">
        <f>SUM(O76:O78)</f>
        <v/>
      </c>
      <c r="P75" s="389">
        <f>SUM(P76:P78)</f>
        <v/>
      </c>
      <c r="Q75" s="389">
        <f>SUM(Q76:Q78)</f>
        <v/>
      </c>
      <c r="R75" s="389">
        <f>SUM(R76:R78)</f>
        <v/>
      </c>
      <c r="S75" s="91" t="n"/>
      <c r="T75" s="74" t="inlineStr">
        <is>
          <t>Don't increase a lot with the number of hotels --&gt; assume steady</t>
        </is>
      </c>
      <c r="U75" s="173" t="inlineStr">
        <is>
          <t>Soft refurbishment (carpets, paint, bedding, furniture fabrics, décor): every 5–7 years</t>
        </is>
      </c>
    </row>
    <row r="76">
      <c r="B76" s="89" t="n"/>
      <c r="C76" s="259" t="inlineStr">
        <is>
          <t>Maintenance for new hotels bought</t>
        </is>
      </c>
      <c r="E76" s="114" t="n"/>
      <c r="F76" s="416">
        <f>F75/F15</f>
        <v/>
      </c>
      <c r="G76" s="416">
        <f>G75/G15</f>
        <v/>
      </c>
      <c r="H76" s="416">
        <f>H75/H15</f>
        <v/>
      </c>
      <c r="I76" s="417">
        <f>AVERAGEA($G$76:$H$76)*(I15-H15)</f>
        <v/>
      </c>
      <c r="J76" s="417">
        <f>AVERAGEA($G$76:$H$76)*(J15-I15)</f>
        <v/>
      </c>
      <c r="K76" s="417">
        <f>AVERAGEA($G$76:$H$76)*(K15-J15)</f>
        <v/>
      </c>
      <c r="L76" s="417">
        <f>AVERAGEA($G$76:$H$76)*(L15-K15)</f>
        <v/>
      </c>
      <c r="M76" s="417">
        <f>AVERAGEA($G$76:$H$76)*(M15-L15)</f>
        <v/>
      </c>
      <c r="N76" s="417">
        <f>AVERAGEA($G$76:$H$76)*(N15-M15)</f>
        <v/>
      </c>
      <c r="O76" s="417">
        <f>AVERAGEA($G$76:$H$76)*(O15-N15)</f>
        <v/>
      </c>
      <c r="P76" s="417">
        <f>AVERAGEA($G$76:$H$76)*(P15-O15)</f>
        <v/>
      </c>
      <c r="Q76" s="417">
        <f>AVERAGEA($G$76:$H$76)*(Q15-P15)</f>
        <v/>
      </c>
      <c r="R76" s="417">
        <f>AVERAGEA($G$76:$H$76)*(R15-Q15)</f>
        <v/>
      </c>
      <c r="S76" s="91" t="n"/>
      <c r="U76" s="173" t="n"/>
    </row>
    <row r="77">
      <c r="B77" s="89" t="n"/>
      <c r="C77" s="259" t="inlineStr">
        <is>
          <t>Maintenance for hotels already part of the portfolio</t>
        </is>
      </c>
      <c r="E77" s="114" t="n"/>
      <c r="F77" s="356" t="n"/>
      <c r="G77" s="356" t="n"/>
      <c r="H77" s="356" t="n"/>
      <c r="I77" s="417">
        <f>$F$76*H15</f>
        <v/>
      </c>
      <c r="J77" s="417">
        <f>$F$76*I15</f>
        <v/>
      </c>
      <c r="K77" s="417">
        <f>$F$76*J15</f>
        <v/>
      </c>
      <c r="L77" s="417">
        <f>$F$76*K15</f>
        <v/>
      </c>
      <c r="M77" s="417">
        <f>$F$76*L15</f>
        <v/>
      </c>
      <c r="N77" s="417">
        <f>$F$76*M15</f>
        <v/>
      </c>
      <c r="O77" s="417">
        <f>$F$76*N15</f>
        <v/>
      </c>
      <c r="P77" s="417">
        <f>$F$76*O15</f>
        <v/>
      </c>
      <c r="Q77" s="417">
        <f>$F$76*P15</f>
        <v/>
      </c>
      <c r="R77" s="417">
        <f>$F$76*Q15</f>
        <v/>
      </c>
      <c r="S77" s="91" t="n"/>
      <c r="U77" s="173" t="n"/>
    </row>
    <row r="78">
      <c r="B78" s="89" t="n"/>
      <c r="C78" s="312" t="inlineStr">
        <is>
          <t xml:space="preserve">Additional one-off capex </t>
        </is>
      </c>
      <c r="D78" s="137" t="n"/>
      <c r="E78" s="171" t="inlineStr">
        <is>
          <t>€m</t>
        </is>
      </c>
      <c r="F78" s="391" t="n"/>
      <c r="G78" s="391" t="n"/>
      <c r="H78" s="391" t="n"/>
      <c r="I78" s="392">
        <f>'Key Assumptions'!$E$18</f>
        <v/>
      </c>
      <c r="J78" s="392" t="n">
        <v>0</v>
      </c>
      <c r="K78" s="392" t="n">
        <v>0</v>
      </c>
      <c r="L78" s="392" t="n">
        <v>0</v>
      </c>
      <c r="M78" s="392" t="n">
        <v>0</v>
      </c>
      <c r="N78" s="392" t="n">
        <v>0</v>
      </c>
      <c r="O78" s="392" t="n">
        <v>0</v>
      </c>
      <c r="P78" s="392" t="n">
        <v>0</v>
      </c>
      <c r="Q78" s="392" t="n">
        <v>0</v>
      </c>
      <c r="R78" s="392" t="n">
        <v>0</v>
      </c>
      <c r="S78" s="91" t="n"/>
      <c r="U78" s="173" t="n"/>
    </row>
    <row r="79">
      <c r="B79" s="89" t="n"/>
      <c r="C79" s="57" t="inlineStr">
        <is>
          <t>Total Capex</t>
        </is>
      </c>
      <c r="D79" s="57" t="n"/>
      <c r="E79" s="174" t="inlineStr">
        <is>
          <t>€m</t>
        </is>
      </c>
      <c r="F79" s="393">
        <f>F74+F75</f>
        <v/>
      </c>
      <c r="G79" s="393">
        <f>G74+G75</f>
        <v/>
      </c>
      <c r="H79" s="393">
        <f>H74+H75</f>
        <v/>
      </c>
      <c r="I79" s="394">
        <f>I74+I75</f>
        <v/>
      </c>
      <c r="J79" s="394">
        <f>J74+J75</f>
        <v/>
      </c>
      <c r="K79" s="394">
        <f>K74+K75+K78</f>
        <v/>
      </c>
      <c r="L79" s="394">
        <f>L74+L75+L78</f>
        <v/>
      </c>
      <c r="M79" s="394">
        <f>M74+M75+M78</f>
        <v/>
      </c>
      <c r="N79" s="394">
        <f>N74+N75+N78</f>
        <v/>
      </c>
      <c r="O79" s="394">
        <f>O74+O75+O78</f>
        <v/>
      </c>
      <c r="P79" s="394">
        <f>P74+P75+P78</f>
        <v/>
      </c>
      <c r="Q79" s="394">
        <f>Q74+Q75+Q78</f>
        <v/>
      </c>
      <c r="R79" s="394">
        <f>R74+R75+R78</f>
        <v/>
      </c>
      <c r="S79" s="91" t="n"/>
      <c r="U79" s="11" t="inlineStr">
        <is>
          <t>Hard refurbishment / full renovation (bathrooms, casegoods, HVAC, lobby redesign, infrastructure): every 10–15 years</t>
        </is>
      </c>
    </row>
    <row r="80">
      <c r="B80" s="89" t="n"/>
      <c r="F80" s="395" t="n"/>
      <c r="G80" s="395" t="n"/>
      <c r="H80" s="177" t="n"/>
      <c r="I80" s="396" t="n"/>
      <c r="J80" s="364" t="n"/>
      <c r="K80" s="364" t="n"/>
      <c r="L80" s="364" t="n"/>
      <c r="M80" s="364" t="n"/>
      <c r="N80" s="364" t="n"/>
      <c r="O80" s="364" t="n"/>
      <c r="P80" s="364" t="n"/>
      <c r="Q80" s="364" t="n"/>
      <c r="R80" s="364" t="n"/>
      <c r="S80" s="91" t="n"/>
    </row>
    <row r="81">
      <c r="B81" s="89" t="n"/>
      <c r="C81" s="74" t="inlineStr">
        <is>
          <t>Change in Working Capital</t>
        </is>
      </c>
      <c r="E81" s="114" t="inlineStr">
        <is>
          <t>€m</t>
        </is>
      </c>
      <c r="F81" s="356" t="n">
        <v>-8.140000000000001</v>
      </c>
      <c r="G81" s="356" t="n">
        <v>-8.390000000000001</v>
      </c>
      <c r="H81" s="356" t="n">
        <v>-8.369999999999999</v>
      </c>
      <c r="I81" s="397">
        <f>'Key Assumptions'!E20</f>
        <v/>
      </c>
      <c r="J81" s="397">
        <f>'Valuation_10%IRR '!I81-'Key Assumptions'!$E$21</f>
        <v/>
      </c>
      <c r="K81" s="397">
        <f>'Valuation_10%IRR '!J81-'Key Assumptions'!$E$21</f>
        <v/>
      </c>
      <c r="L81" s="397">
        <f>'Valuation_10%IRR '!K81-'Key Assumptions'!$E$21</f>
        <v/>
      </c>
      <c r="M81" s="397">
        <f>'Valuation_10%IRR '!L81-'Key Assumptions'!$E$21</f>
        <v/>
      </c>
      <c r="N81" s="397">
        <f>'Key Assumptions'!$E$22</f>
        <v/>
      </c>
      <c r="O81" s="397">
        <f>'Key Assumptions'!$E$22</f>
        <v/>
      </c>
      <c r="P81" s="397">
        <f>'Key Assumptions'!$E$22</f>
        <v/>
      </c>
      <c r="Q81" s="397">
        <f>'Key Assumptions'!$E$22</f>
        <v/>
      </c>
      <c r="R81" s="397">
        <f>'Key Assumptions'!$E$22</f>
        <v/>
      </c>
      <c r="S81" s="91" t="n"/>
    </row>
    <row r="82">
      <c r="B82" s="89" t="n"/>
      <c r="C82" s="125" t="n"/>
      <c r="F82" s="180" t="n"/>
      <c r="G82" s="418" t="n"/>
      <c r="H82" s="418" t="n"/>
      <c r="I82" s="418" t="n"/>
      <c r="J82" s="418" t="n"/>
      <c r="K82" s="418" t="n"/>
      <c r="L82" s="418" t="n"/>
      <c r="M82" s="418" t="n"/>
      <c r="N82" s="418" t="n"/>
      <c r="O82" s="418" t="n"/>
      <c r="P82" s="418" t="n"/>
      <c r="Q82" s="418" t="n"/>
      <c r="R82" s="418" t="n"/>
      <c r="S82" s="91" t="n"/>
    </row>
    <row r="83">
      <c r="B83" s="264" t="n"/>
      <c r="C83" s="259" t="inlineStr">
        <is>
          <t>Cost per Hotels - Growth Capex</t>
        </is>
      </c>
      <c r="D83" s="259" t="n"/>
      <c r="E83" s="259" t="n"/>
      <c r="F83" s="419" t="n"/>
      <c r="G83" s="416">
        <f>G74/G15</f>
        <v/>
      </c>
      <c r="H83" s="416">
        <f>H74/H15</f>
        <v/>
      </c>
      <c r="I83" s="417">
        <f>AVERAGEA($G$83:$H$83)</f>
        <v/>
      </c>
      <c r="J83" s="417">
        <f>AVERAGEA($G$83:$H$83)</f>
        <v/>
      </c>
      <c r="K83" s="417">
        <f>AVERAGEA($G$83:$H$83)</f>
        <v/>
      </c>
      <c r="L83" s="417">
        <f>AVERAGEA($G$83:$H$83)</f>
        <v/>
      </c>
      <c r="M83" s="417">
        <f>AVERAGEA($G$83:$H$83)</f>
        <v/>
      </c>
      <c r="N83" s="417">
        <f>AVERAGEA($G$83:$H$83)</f>
        <v/>
      </c>
      <c r="O83" s="417">
        <f>AVERAGEA($G$83:$H$83)</f>
        <v/>
      </c>
      <c r="P83" s="417">
        <f>AVERAGEA($G$83:$H$83)</f>
        <v/>
      </c>
      <c r="Q83" s="417">
        <f>AVERAGEA($G$83:$H$83)</f>
        <v/>
      </c>
      <c r="R83" s="417">
        <f>AVERAGEA($G$83:$H$83)</f>
        <v/>
      </c>
      <c r="S83" s="265" t="n"/>
    </row>
    <row r="84">
      <c r="B84" s="264" t="n"/>
      <c r="C84" s="259" t="inlineStr">
        <is>
          <t>TT maintenance CAPEX</t>
        </is>
      </c>
      <c r="D84" s="259" t="n"/>
      <c r="E84" s="259" t="n"/>
      <c r="I84" s="417">
        <f>SUM(I76:I77)</f>
        <v/>
      </c>
      <c r="J84" s="417">
        <f>SUM(J76:J77)</f>
        <v/>
      </c>
      <c r="K84" s="417">
        <f>SUM(K76:K77)</f>
        <v/>
      </c>
      <c r="L84" s="417">
        <f>SUM(L76:L77)</f>
        <v/>
      </c>
      <c r="M84" s="417">
        <f>SUM(M76:M77)</f>
        <v/>
      </c>
      <c r="N84" s="417">
        <f>SUM(N76:N77)</f>
        <v/>
      </c>
      <c r="O84" s="417">
        <f>SUM(O76:O77)</f>
        <v/>
      </c>
      <c r="P84" s="417">
        <f>SUM(P76:P77)</f>
        <v/>
      </c>
      <c r="Q84" s="417">
        <f>SUM(Q76:Q77)</f>
        <v/>
      </c>
      <c r="R84" s="417">
        <f>SUM(R76:R77)</f>
        <v/>
      </c>
      <c r="S84" s="266" t="n"/>
      <c r="T84" s="74" t="inlineStr">
        <is>
          <t>major refurbishments 2022 and 2023, recover to normal levels of 2021</t>
        </is>
      </c>
    </row>
    <row r="85">
      <c r="B85" s="264" t="n"/>
      <c r="C85" s="259" t="inlineStr">
        <is>
          <t>Maintenance CAPEX new ones</t>
        </is>
      </c>
      <c r="D85" s="259" t="n"/>
      <c r="E85" s="259" t="n"/>
      <c r="F85" s="419" t="n"/>
      <c r="G85" s="416" t="n"/>
      <c r="H85" s="416" t="n"/>
      <c r="S85" s="266" t="n"/>
      <c r="T85" s="74" t="inlineStr">
        <is>
          <t>Major refurbishments only on new hotels (average of 2022 and 2023), otherwise minor</t>
        </is>
      </c>
    </row>
    <row r="86">
      <c r="B86" s="267" t="n"/>
      <c r="C86" s="268" t="inlineStr">
        <is>
          <t>Maintenance capex old ones</t>
        </is>
      </c>
      <c r="D86" s="268" t="n"/>
      <c r="E86" s="268" t="n"/>
      <c r="F86" s="420" t="n"/>
      <c r="G86" s="421" t="n"/>
      <c r="H86" s="421" t="n"/>
      <c r="I86" s="291" t="n"/>
      <c r="J86" s="291" t="n"/>
      <c r="K86" s="291" t="n"/>
      <c r="L86" s="291" t="n"/>
      <c r="M86" s="291" t="n"/>
      <c r="N86" s="291" t="n"/>
      <c r="O86" s="291" t="n"/>
      <c r="P86" s="291" t="n"/>
      <c r="Q86" s="291" t="n"/>
      <c r="R86" s="291" t="n"/>
      <c r="S86" s="271" t="n"/>
    </row>
    <row r="87">
      <c r="F87" s="180" t="n"/>
      <c r="G87" s="400" t="n"/>
      <c r="H87" s="400" t="n"/>
      <c r="I87" s="400" t="n"/>
      <c r="J87" s="400" t="n"/>
      <c r="K87" s="400" t="n"/>
      <c r="L87" s="400" t="n"/>
      <c r="M87" s="400" t="n"/>
      <c r="N87" s="400" t="n"/>
      <c r="O87" s="400" t="n"/>
      <c r="P87" s="400" t="n"/>
      <c r="Q87" s="400" t="n"/>
      <c r="R87" s="400" t="n"/>
      <c r="T87" s="286" t="inlineStr">
        <is>
          <t>more or less the maintenacnce CAPEX</t>
        </is>
      </c>
    </row>
    <row r="88">
      <c r="F88" s="180" t="n"/>
      <c r="G88" s="400" t="n"/>
      <c r="H88" s="400" t="n"/>
      <c r="I88" s="400" t="n"/>
      <c r="J88" s="400" t="n"/>
      <c r="K88" s="400" t="n"/>
      <c r="L88" s="400" t="n"/>
      <c r="M88" s="400" t="n"/>
      <c r="N88" s="400" t="n"/>
      <c r="O88" s="400" t="n"/>
      <c r="P88" s="400" t="n"/>
      <c r="Q88" s="400" t="n"/>
      <c r="R88" s="400" t="n"/>
      <c r="T88" s="207" t="n"/>
    </row>
    <row r="89">
      <c r="B89" s="272" t="n"/>
      <c r="C89" s="273" t="n"/>
      <c r="D89" s="273" t="n"/>
      <c r="E89" s="273" t="n"/>
      <c r="F89" s="274" t="n"/>
      <c r="G89" s="401" t="n"/>
      <c r="H89" s="401" t="n"/>
      <c r="I89" s="401" t="n"/>
      <c r="J89" s="401" t="n"/>
      <c r="K89" s="401" t="n"/>
      <c r="L89" s="401" t="n"/>
      <c r="M89" s="401" t="n"/>
      <c r="N89" s="401" t="n"/>
      <c r="O89" s="401" t="n"/>
      <c r="P89" s="401" t="n"/>
      <c r="Q89" s="401" t="n"/>
      <c r="R89" s="401" t="n"/>
      <c r="S89" s="276" t="n"/>
    </row>
    <row r="90">
      <c r="B90" s="89" t="n"/>
      <c r="F90" s="180" t="n"/>
      <c r="G90" s="400" t="n"/>
      <c r="H90" s="400" t="n"/>
      <c r="I90" s="400" t="n"/>
      <c r="J90" s="400" t="n"/>
      <c r="K90" s="400" t="n"/>
      <c r="L90" s="400" t="n"/>
      <c r="M90" s="400" t="n"/>
      <c r="N90" s="400" t="n"/>
      <c r="O90" s="400" t="n"/>
      <c r="P90" s="400" t="n"/>
      <c r="Q90" s="400" t="n"/>
      <c r="R90" s="400" t="n"/>
      <c r="S90" s="91" t="n"/>
    </row>
    <row r="91">
      <c r="B91" s="40" t="inlineStr">
        <is>
          <t>1d. Free Cash Flow &amp; DCF Valuation (with 15% IRR) :</t>
        </is>
      </c>
      <c r="C91" s="29" t="n"/>
      <c r="D91" s="29" t="n"/>
      <c r="E91" s="29" t="n"/>
      <c r="F91" s="29" t="n"/>
      <c r="G91" s="51" t="n"/>
      <c r="H91" s="29" t="n"/>
      <c r="I91" s="29" t="n"/>
      <c r="J91" s="29" t="n"/>
      <c r="K91" s="29" t="n"/>
      <c r="L91" s="29" t="n"/>
      <c r="M91" s="29" t="n"/>
      <c r="N91" s="29" t="n"/>
      <c r="O91" s="29" t="n"/>
      <c r="P91" s="29" t="n"/>
      <c r="Q91" s="29" t="n"/>
      <c r="R91" s="29" t="n"/>
      <c r="S91" s="96" t="n"/>
    </row>
    <row r="92">
      <c r="B92" s="89" t="n"/>
      <c r="F92" s="180" t="n"/>
      <c r="G92" s="400" t="n"/>
      <c r="H92" s="400" t="n"/>
      <c r="I92" s="402" t="n"/>
      <c r="J92" s="402" t="n"/>
      <c r="K92" s="402" t="n"/>
      <c r="L92" s="402" t="n"/>
      <c r="M92" s="402" t="n"/>
      <c r="N92" s="402" t="n"/>
      <c r="O92" s="402" t="n"/>
      <c r="P92" s="402" t="n"/>
      <c r="Q92" s="402" t="n"/>
      <c r="R92" s="402" t="n"/>
      <c r="S92" s="91" t="n"/>
    </row>
    <row r="93">
      <c r="B93" s="89" t="n"/>
      <c r="C93" s="30" t="n"/>
      <c r="D93" s="30" t="n"/>
      <c r="E93" s="30" t="n"/>
      <c r="F93" s="326" t="n"/>
      <c r="G93" s="340" t="n"/>
      <c r="H93" s="341" t="n"/>
      <c r="I93" s="97" t="inlineStr">
        <is>
          <t>Growth Phase</t>
        </is>
      </c>
      <c r="J93" s="25" t="n"/>
      <c r="K93" s="25" t="n"/>
      <c r="L93" s="25" t="n"/>
      <c r="M93" s="25" t="n"/>
      <c r="N93" s="327" t="inlineStr">
        <is>
          <t>Steady State Phase</t>
        </is>
      </c>
      <c r="O93" s="340" t="n"/>
      <c r="P93" s="340" t="n"/>
      <c r="Q93" s="340" t="n"/>
      <c r="R93" s="340" t="n"/>
      <c r="S93" s="91" t="n"/>
    </row>
    <row r="94">
      <c r="B94" s="89" t="n"/>
      <c r="C94" s="30" t="n"/>
      <c r="D94" s="30" t="n"/>
      <c r="E94" s="30" t="n"/>
      <c r="F94" s="30" t="n"/>
      <c r="G94" s="30" t="n"/>
      <c r="H94" s="30" t="inlineStr">
        <is>
          <t>Units:</t>
        </is>
      </c>
      <c r="I94" s="98" t="n">
        <v>2024</v>
      </c>
      <c r="J94" s="30" t="n">
        <v>2025</v>
      </c>
      <c r="K94" s="30" t="n">
        <v>2026</v>
      </c>
      <c r="L94" s="30" t="n">
        <v>2027</v>
      </c>
      <c r="M94" s="30" t="n">
        <v>2028</v>
      </c>
      <c r="N94" s="99" t="n">
        <v>2029</v>
      </c>
      <c r="O94" s="30" t="n">
        <v>2030</v>
      </c>
      <c r="P94" s="30" t="n">
        <v>2031</v>
      </c>
      <c r="Q94" s="30" t="n">
        <v>2032</v>
      </c>
      <c r="R94" s="30" t="n">
        <v>2033</v>
      </c>
      <c r="S94" s="91" t="n"/>
    </row>
    <row r="95">
      <c r="B95" s="89" t="n"/>
      <c r="F95" s="180" t="n"/>
      <c r="G95" s="180" t="n"/>
      <c r="I95" s="402" t="n"/>
      <c r="J95" s="402" t="n"/>
      <c r="K95" s="402" t="n"/>
      <c r="L95" s="402" t="n"/>
      <c r="M95" s="402" t="n"/>
      <c r="N95" s="402" t="n"/>
      <c r="O95" s="402" t="n"/>
      <c r="P95" s="402" t="n"/>
      <c r="Q95" s="402" t="n"/>
      <c r="R95" s="402" t="n"/>
      <c r="S95" s="91" t="n"/>
    </row>
    <row r="96">
      <c r="B96" s="89" t="n"/>
      <c r="C96" s="74" t="inlineStr">
        <is>
          <t>Adjusted EBITDA</t>
        </is>
      </c>
      <c r="E96" s="114" t="n"/>
      <c r="F96" s="403" t="n"/>
      <c r="G96" s="403" t="n"/>
      <c r="H96" s="114" t="inlineStr">
        <is>
          <t>€m</t>
        </is>
      </c>
      <c r="I96" s="356">
        <f>I41</f>
        <v/>
      </c>
      <c r="J96" s="356">
        <f>J41</f>
        <v/>
      </c>
      <c r="K96" s="356">
        <f>K41</f>
        <v/>
      </c>
      <c r="L96" s="356">
        <f>L41</f>
        <v/>
      </c>
      <c r="M96" s="356">
        <f>M41</f>
        <v/>
      </c>
      <c r="N96" s="356">
        <f>N41</f>
        <v/>
      </c>
      <c r="O96" s="356">
        <f>O41</f>
        <v/>
      </c>
      <c r="P96" s="356">
        <f>P41</f>
        <v/>
      </c>
      <c r="Q96" s="356">
        <f>Q41</f>
        <v/>
      </c>
      <c r="R96" s="356">
        <f>R41</f>
        <v/>
      </c>
      <c r="S96" s="91" t="n"/>
    </row>
    <row r="97">
      <c r="B97" s="89" t="n"/>
      <c r="C97" s="74" t="inlineStr">
        <is>
          <t>Interest</t>
        </is>
      </c>
      <c r="E97" s="114" t="n"/>
      <c r="F97" s="403" t="n"/>
      <c r="G97" s="403" t="n"/>
      <c r="H97" s="114" t="inlineStr">
        <is>
          <t>€m</t>
        </is>
      </c>
      <c r="I97" s="356">
        <f>-I44</f>
        <v/>
      </c>
      <c r="J97" s="356">
        <f>-J44</f>
        <v/>
      </c>
      <c r="K97" s="356">
        <f>-K44</f>
        <v/>
      </c>
      <c r="L97" s="356">
        <f>-L44</f>
        <v/>
      </c>
      <c r="M97" s="356">
        <f>-M44</f>
        <v/>
      </c>
      <c r="N97" s="356">
        <f>-N44</f>
        <v/>
      </c>
      <c r="O97" s="356">
        <f>-O44</f>
        <v/>
      </c>
      <c r="P97" s="356">
        <f>-P44</f>
        <v/>
      </c>
      <c r="Q97" s="356">
        <f>-Q44</f>
        <v/>
      </c>
      <c r="R97" s="356">
        <f>-R44</f>
        <v/>
      </c>
      <c r="S97" s="91" t="n"/>
    </row>
    <row r="98">
      <c r="B98" s="89" t="n"/>
      <c r="C98" s="74" t="inlineStr">
        <is>
          <t>Tax</t>
        </is>
      </c>
      <c r="E98" s="114" t="n"/>
      <c r="F98" s="403" t="n"/>
      <c r="G98" s="403" t="n"/>
      <c r="H98" s="114" t="inlineStr">
        <is>
          <t>€m</t>
        </is>
      </c>
      <c r="I98" s="356">
        <f>-I50</f>
        <v/>
      </c>
      <c r="J98" s="356">
        <f>-J50</f>
        <v/>
      </c>
      <c r="K98" s="356">
        <f>-K50</f>
        <v/>
      </c>
      <c r="L98" s="356">
        <f>-L50</f>
        <v/>
      </c>
      <c r="M98" s="356">
        <f>-M50</f>
        <v/>
      </c>
      <c r="N98" s="356">
        <f>-N50</f>
        <v/>
      </c>
      <c r="O98" s="356">
        <f>-O50</f>
        <v/>
      </c>
      <c r="P98" s="356">
        <f>-P50</f>
        <v/>
      </c>
      <c r="Q98" s="356">
        <f>-Q50</f>
        <v/>
      </c>
      <c r="R98" s="356">
        <f>-R50</f>
        <v/>
      </c>
      <c r="S98" s="91" t="n"/>
    </row>
    <row r="99">
      <c r="B99" s="89" t="n"/>
      <c r="C99" s="74" t="inlineStr">
        <is>
          <t>Change in Working Capital</t>
        </is>
      </c>
      <c r="E99" s="114" t="n"/>
      <c r="F99" s="403" t="n"/>
      <c r="G99" s="403" t="n"/>
      <c r="H99" s="114" t="inlineStr">
        <is>
          <t>€m</t>
        </is>
      </c>
      <c r="I99" s="290">
        <f>I81</f>
        <v/>
      </c>
      <c r="J99" s="290">
        <f>J81</f>
        <v/>
      </c>
      <c r="K99" s="290">
        <f>K81</f>
        <v/>
      </c>
      <c r="L99" s="290">
        <f>L81</f>
        <v/>
      </c>
      <c r="M99" s="290">
        <f>M81</f>
        <v/>
      </c>
      <c r="N99" s="290">
        <f>N81</f>
        <v/>
      </c>
      <c r="O99" s="290">
        <f>O81</f>
        <v/>
      </c>
      <c r="P99" s="290">
        <f>P81</f>
        <v/>
      </c>
      <c r="Q99" s="290">
        <f>Q81</f>
        <v/>
      </c>
      <c r="R99" s="290">
        <f>R81</f>
        <v/>
      </c>
      <c r="S99" s="91" t="n"/>
    </row>
    <row r="100">
      <c r="B100" s="89" t="n"/>
      <c r="C100" s="74" t="inlineStr">
        <is>
          <t>Capex</t>
        </is>
      </c>
      <c r="E100" s="114" t="n"/>
      <c r="F100" s="403" t="n"/>
      <c r="G100" s="403" t="n"/>
      <c r="H100" s="114" t="inlineStr">
        <is>
          <t>€m</t>
        </is>
      </c>
      <c r="I100" s="356">
        <f>I79</f>
        <v/>
      </c>
      <c r="J100" s="356">
        <f>J79</f>
        <v/>
      </c>
      <c r="K100" s="356">
        <f>K79</f>
        <v/>
      </c>
      <c r="L100" s="356">
        <f>L79</f>
        <v/>
      </c>
      <c r="M100" s="356">
        <f>M79</f>
        <v/>
      </c>
      <c r="N100" s="356">
        <f>N79</f>
        <v/>
      </c>
      <c r="O100" s="356">
        <f>O79</f>
        <v/>
      </c>
      <c r="P100" s="356">
        <f>P79</f>
        <v/>
      </c>
      <c r="Q100" s="356">
        <f>Q79</f>
        <v/>
      </c>
      <c r="R100" s="356">
        <f>R79</f>
        <v/>
      </c>
      <c r="S100" s="91" t="n"/>
    </row>
    <row r="101">
      <c r="B101" s="89" t="n"/>
      <c r="C101" s="8" t="inlineStr">
        <is>
          <t>Free Cash Flow to Equity (FCFE)</t>
        </is>
      </c>
      <c r="D101" s="8" t="n"/>
      <c r="E101" s="184" t="n"/>
      <c r="F101" s="404" t="n"/>
      <c r="G101" s="404" t="n"/>
      <c r="H101" s="184" t="inlineStr">
        <is>
          <t>€m</t>
        </is>
      </c>
      <c r="I101" s="352">
        <f>SUM(I96:I100)</f>
        <v/>
      </c>
      <c r="J101" s="352">
        <f>SUM(J96:J100)</f>
        <v/>
      </c>
      <c r="K101" s="352">
        <f>SUM(K96:K100)</f>
        <v/>
      </c>
      <c r="L101" s="352">
        <f>SUM(L96:L100)</f>
        <v/>
      </c>
      <c r="M101" s="352">
        <f>SUM(M96:M100)</f>
        <v/>
      </c>
      <c r="N101" s="352">
        <f>SUM(N96:N100)</f>
        <v/>
      </c>
      <c r="O101" s="352">
        <f>SUM(O96:O100)</f>
        <v/>
      </c>
      <c r="P101" s="352">
        <f>SUM(P96:P100)</f>
        <v/>
      </c>
      <c r="Q101" s="352">
        <f>SUM(Q96:Q100)</f>
        <v/>
      </c>
      <c r="R101" s="352">
        <f>SUM(R96:R100)</f>
        <v/>
      </c>
      <c r="S101" s="91" t="n"/>
      <c r="T101" s="405" t="n"/>
    </row>
    <row r="102">
      <c r="B102" s="89" t="n"/>
      <c r="E102" s="114" t="n"/>
      <c r="F102" s="403" t="n"/>
      <c r="G102" s="403" t="n"/>
      <c r="H102" s="403" t="n"/>
      <c r="I102" s="403" t="n"/>
      <c r="J102" s="403" t="n"/>
      <c r="K102" s="403" t="n"/>
      <c r="L102" s="403" t="n"/>
      <c r="M102" s="403" t="n"/>
      <c r="N102" s="403" t="n"/>
      <c r="O102" s="403" t="n"/>
      <c r="P102" s="403" t="n"/>
      <c r="Q102" s="92" t="n"/>
      <c r="R102" s="403" t="n"/>
      <c r="S102" s="91" t="n"/>
    </row>
    <row r="103">
      <c r="B103" s="89" t="n"/>
      <c r="C103" s="74" t="inlineStr">
        <is>
          <t>Discount Rate (IRR)</t>
        </is>
      </c>
      <c r="E103" s="33" t="n">
        <v>0.1</v>
      </c>
      <c r="H103" s="75" t="n"/>
      <c r="I103" s="360" t="n"/>
      <c r="J103" s="406" t="n"/>
      <c r="O103" s="100" t="inlineStr">
        <is>
          <t>Terminal Value:</t>
        </is>
      </c>
      <c r="Q103" s="360" t="n"/>
      <c r="R103" s="362">
        <f>R101*(1+E104)/(E103-E104)</f>
        <v/>
      </c>
      <c r="S103" s="188" t="n"/>
    </row>
    <row r="104">
      <c r="B104" s="89" t="n"/>
      <c r="C104" s="74" t="inlineStr">
        <is>
          <t>Terminal Growth Rate</t>
        </is>
      </c>
      <c r="E104" s="33" t="n">
        <v>0.02</v>
      </c>
      <c r="H104" s="75" t="n"/>
      <c r="I104" s="360" t="n"/>
      <c r="J104" s="406" t="n"/>
      <c r="O104" s="11" t="n"/>
      <c r="Q104" s="360" t="n"/>
      <c r="R104" s="407" t="n"/>
      <c r="S104" s="91" t="n"/>
    </row>
    <row r="105">
      <c r="B105" s="89" t="n"/>
      <c r="C105" s="74" t="inlineStr">
        <is>
          <t>Tax Rate</t>
        </is>
      </c>
      <c r="E105" s="190">
        <f>D50</f>
        <v/>
      </c>
      <c r="I105" s="360" t="n"/>
      <c r="J105" s="360" t="n"/>
      <c r="K105" s="360" t="n"/>
      <c r="L105" s="360" t="n"/>
      <c r="M105" s="360" t="n"/>
      <c r="N105" s="360" t="n"/>
      <c r="O105" s="100" t="inlineStr">
        <is>
          <t>PV of Terminal Value:</t>
        </is>
      </c>
      <c r="Q105" s="360" t="n"/>
      <c r="R105" s="362">
        <f>R103*R107</f>
        <v/>
      </c>
      <c r="S105" s="91" t="n"/>
    </row>
    <row r="106">
      <c r="B106" s="89" t="n"/>
      <c r="F106" s="408" t="n"/>
      <c r="I106" s="360" t="n"/>
      <c r="S106" s="91" t="n"/>
    </row>
    <row r="107">
      <c r="B107" s="89" t="n"/>
      <c r="C107" s="74" t="inlineStr">
        <is>
          <t>Discount Factor</t>
        </is>
      </c>
      <c r="F107" s="408" t="n"/>
      <c r="I107" s="409">
        <f>1/(1+$E$103)^I108</f>
        <v/>
      </c>
      <c r="J107" s="409">
        <f>1/(1+$E$103)^J108</f>
        <v/>
      </c>
      <c r="K107" s="409">
        <f>1/(1+$E$103)^K108</f>
        <v/>
      </c>
      <c r="L107" s="409">
        <f>1/(1+$E$103)^L108</f>
        <v/>
      </c>
      <c r="M107" s="409">
        <f>1/(1+$E$103)^M108</f>
        <v/>
      </c>
      <c r="N107" s="409">
        <f>1/(1+$E$103)^N108</f>
        <v/>
      </c>
      <c r="O107" s="409">
        <f>1/(1+$E$103)^O108</f>
        <v/>
      </c>
      <c r="P107" s="409">
        <f>1/(1+$E$103)^P108</f>
        <v/>
      </c>
      <c r="Q107" s="409">
        <f>1/(1+$E$103)^Q108</f>
        <v/>
      </c>
      <c r="R107" s="409">
        <f>1/(1+$E$103)^R108</f>
        <v/>
      </c>
      <c r="S107" s="91" t="n"/>
      <c r="T107" s="335" t="n"/>
    </row>
    <row r="108">
      <c r="B108" s="89" t="n"/>
      <c r="C108" s="74" t="inlineStr">
        <is>
          <t>Year</t>
        </is>
      </c>
      <c r="I108" s="351" t="n">
        <v>1</v>
      </c>
      <c r="J108" s="351" t="n">
        <v>2</v>
      </c>
      <c r="K108" s="351" t="n">
        <v>3</v>
      </c>
      <c r="L108" s="351" t="n">
        <v>4</v>
      </c>
      <c r="M108" s="351" t="n">
        <v>5</v>
      </c>
      <c r="N108" s="351" t="n">
        <v>6</v>
      </c>
      <c r="O108" s="351" t="n">
        <v>7</v>
      </c>
      <c r="P108" s="351" t="n">
        <v>8</v>
      </c>
      <c r="Q108" s="351" t="n">
        <v>9</v>
      </c>
      <c r="R108" s="351" t="n">
        <v>10</v>
      </c>
      <c r="S108" s="91" t="n"/>
    </row>
    <row r="109">
      <c r="B109" s="89" t="n"/>
      <c r="C109" s="8" t="inlineStr">
        <is>
          <t>PV of FCFE</t>
        </is>
      </c>
      <c r="D109" s="8" t="n"/>
      <c r="E109" s="8" t="n"/>
      <c r="F109" s="194" t="n"/>
      <c r="G109" s="194" t="n"/>
      <c r="H109" s="194" t="n"/>
      <c r="I109" s="352">
        <f>I101*I107</f>
        <v/>
      </c>
      <c r="J109" s="352">
        <f>J101*J107</f>
        <v/>
      </c>
      <c r="K109" s="352">
        <f>K101*K107</f>
        <v/>
      </c>
      <c r="L109" s="352">
        <f>L101*L107</f>
        <v/>
      </c>
      <c r="M109" s="352">
        <f>M101*M107</f>
        <v/>
      </c>
      <c r="N109" s="352">
        <f>N101*N107</f>
        <v/>
      </c>
      <c r="O109" s="352">
        <f>O101*O107</f>
        <v/>
      </c>
      <c r="P109" s="352">
        <f>P101*P107</f>
        <v/>
      </c>
      <c r="Q109" s="352">
        <f>Q101*Q107</f>
        <v/>
      </c>
      <c r="R109" s="352">
        <f>R101*R107</f>
        <v/>
      </c>
      <c r="S109" s="91" t="n"/>
    </row>
    <row r="110">
      <c r="B110" s="89" t="n"/>
      <c r="C110" s="11" t="n"/>
      <c r="D110" s="11" t="n"/>
      <c r="E110" s="11" t="n"/>
      <c r="I110" s="410" t="n"/>
      <c r="J110" s="410" t="n"/>
      <c r="K110" s="410" t="n"/>
      <c r="L110" s="410" t="n"/>
      <c r="M110" s="410" t="n"/>
      <c r="N110" s="410" t="n"/>
      <c r="O110" s="410" t="n"/>
      <c r="P110" s="410" t="n"/>
      <c r="Q110" s="410" t="n"/>
      <c r="R110" s="411" t="n"/>
      <c r="S110" s="91" t="n"/>
    </row>
    <row r="111">
      <c r="B111" s="89" t="n"/>
      <c r="C111" s="11" t="n"/>
      <c r="D111" s="11" t="n"/>
      <c r="E111" s="11" t="n"/>
      <c r="I111" s="410" t="n"/>
      <c r="J111" s="410" t="n"/>
      <c r="K111" s="410" t="n"/>
      <c r="L111" s="410" t="n"/>
      <c r="M111" s="410" t="n"/>
      <c r="N111" s="410" t="n"/>
      <c r="O111" s="410" t="n"/>
      <c r="P111" s="410" t="n"/>
      <c r="Q111" s="410" t="n"/>
      <c r="S111" s="91" t="n"/>
    </row>
    <row r="112">
      <c r="B112" s="89" t="n"/>
      <c r="C112" s="308" t="inlineStr">
        <is>
          <t>Base Case</t>
        </is>
      </c>
      <c r="D112" s="308" t="n"/>
      <c r="E112" s="412" t="n"/>
      <c r="F112" s="103" t="n"/>
      <c r="J112" s="413" t="n"/>
      <c r="K112" s="413" t="n"/>
      <c r="L112" s="413" t="n"/>
      <c r="M112" s="413" t="n"/>
      <c r="N112" s="413" t="n"/>
      <c r="O112" s="413" t="n"/>
      <c r="P112" s="413" t="n"/>
      <c r="Q112" s="413" t="n"/>
      <c r="R112" s="422" t="n"/>
      <c r="S112" s="91" t="n"/>
    </row>
    <row r="113">
      <c r="B113" s="89" t="n"/>
      <c r="C113" s="74" t="inlineStr">
        <is>
          <t>Equity Value</t>
        </is>
      </c>
      <c r="D113" s="103" t="inlineStr">
        <is>
          <t>€m</t>
        </is>
      </c>
      <c r="E113" s="414">
        <f>SUM(I109:R109,R105)</f>
        <v/>
      </c>
      <c r="F113" s="198" t="n"/>
      <c r="J113" s="351" t="n"/>
      <c r="S113" s="91" t="n"/>
    </row>
    <row r="114">
      <c r="B114" s="89" t="n"/>
      <c r="C114" s="74" t="inlineStr">
        <is>
          <t>(+) Net Debt</t>
        </is>
      </c>
      <c r="D114" s="103" t="inlineStr">
        <is>
          <t>€m</t>
        </is>
      </c>
      <c r="E114" s="28">
        <f>$D$59</f>
        <v/>
      </c>
      <c r="F114" s="103" t="n"/>
      <c r="S114" s="91" t="n"/>
    </row>
    <row r="115">
      <c r="B115" s="89" t="n"/>
      <c r="C115" s="8" t="inlineStr">
        <is>
          <t>Enterprise Value</t>
        </is>
      </c>
      <c r="D115" s="184" t="inlineStr">
        <is>
          <t>€m</t>
        </is>
      </c>
      <c r="E115" s="415">
        <f>SUM(E113:E114)</f>
        <v/>
      </c>
      <c r="F115" s="103" t="n"/>
      <c r="S115" s="23" t="n"/>
    </row>
    <row r="116">
      <c r="B116" s="89" t="n"/>
      <c r="F116" s="103" t="n"/>
      <c r="S116" s="23" t="n"/>
    </row>
    <row r="117">
      <c r="B117" s="147" t="n"/>
      <c r="C117" s="152" t="n"/>
      <c r="D117" s="152" t="n"/>
      <c r="E117" s="152" t="n"/>
      <c r="F117" s="152" t="n"/>
      <c r="G117" s="306" t="n"/>
      <c r="H117" s="306" t="n"/>
      <c r="I117" s="306" t="n"/>
      <c r="J117" s="152" t="n"/>
      <c r="K117" s="152" t="n"/>
      <c r="L117" s="152" t="n"/>
      <c r="M117" s="152" t="n"/>
      <c r="N117" s="152" t="n"/>
      <c r="O117" s="152" t="n"/>
      <c r="P117" s="152" t="n"/>
      <c r="Q117" s="152" t="n"/>
      <c r="R117" s="152" t="n"/>
      <c r="S117" s="150" t="n"/>
    </row>
    <row r="118"/>
    <row r="119"/>
    <row r="120">
      <c r="F120" s="201" t="n"/>
      <c r="G120" s="201" t="n"/>
      <c r="H120" s="201" t="n"/>
      <c r="I120" s="201" t="n"/>
    </row>
    <row r="121">
      <c r="D121" s="202" t="n"/>
      <c r="E121" s="202" t="n"/>
      <c r="F121" s="386" t="n"/>
      <c r="G121" s="386" t="n"/>
      <c r="H121" s="386" t="n"/>
      <c r="I121" s="386" t="n"/>
    </row>
    <row r="122">
      <c r="C122" s="201" t="n"/>
    </row>
  </sheetData>
  <mergeCells count="6">
    <mergeCell ref="N12:R12"/>
    <mergeCell ref="N70:R70"/>
    <mergeCell ref="F93:H93"/>
    <mergeCell ref="N93:R93"/>
    <mergeCell ref="F70:H70"/>
    <mergeCell ref="F12:H12"/>
  </mergeCells>
  <hyperlinks>
    <hyperlink xmlns:r="http://schemas.openxmlformats.org/officeDocument/2006/relationships" ref="T61" r:id="rId1"/>
  </hyperlinks>
  <pageMargins left="0.7" right="0.7" top="0.75" bottom="0.75" header="0.3" footer="0.3"/>
  <drawing xmlns:r="http://schemas.openxmlformats.org/officeDocument/2006/relationships" r:id="rId2"/>
  <legacyDrawing xmlns:r="http://schemas.openxmlformats.org/officeDocument/2006/relationships" r:id="anysvml"/>
</worksheet>
</file>

<file path=xl/worksheets/sheet11.xml><?xml version="1.0" encoding="utf-8"?>
<worksheet xmlns="http://schemas.openxmlformats.org/spreadsheetml/2006/main">
  <sheetPr>
    <tabColor theme="3"/>
    <outlinePr summaryBelow="1" summaryRight="1"/>
    <pageSetUpPr/>
  </sheetPr>
  <dimension ref="B3:H10"/>
  <sheetViews>
    <sheetView showGridLines="0" workbookViewId="0">
      <selection activeCell="H10" sqref="H10"/>
    </sheetView>
  </sheetViews>
  <sheetFormatPr baseColWidth="8" defaultRowHeight="15"/>
  <sheetData>
    <row r="3" ht="33.75" customHeight="1">
      <c r="B3" s="85" t="inlineStr">
        <is>
          <t>MOBICO</t>
        </is>
      </c>
    </row>
    <row r="4" ht="33.75" customHeight="1">
      <c r="B4" s="85" t="inlineStr">
        <is>
          <t>COMPANY VALUATION</t>
        </is>
      </c>
    </row>
    <row r="10">
      <c r="H10" s="310" t="n"/>
    </row>
  </sheetData>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tabColor theme="3" tint="0.3999755851924192"/>
    <outlinePr summaryBelow="1" summaryRight="1"/>
    <pageSetUpPr/>
  </sheetPr>
  <dimension ref="B2:U67"/>
  <sheetViews>
    <sheetView showGridLines="0" topLeftCell="A4" zoomScale="90" zoomScaleNormal="90" workbookViewId="0">
      <selection activeCell="A1" sqref="A1"/>
    </sheetView>
  </sheetViews>
  <sheetFormatPr baseColWidth="8" defaultColWidth="8.7109375" defaultRowHeight="15.75"/>
  <cols>
    <col width="8.7109375" customWidth="1" style="74" min="1" max="1"/>
    <col width="1.42578125" customWidth="1" style="74" min="2" max="2"/>
    <col width="13.140625" bestFit="1" customWidth="1" style="74" min="3" max="3"/>
    <col width="18.42578125" customWidth="1" style="74" min="4" max="4"/>
    <col width="8.42578125" customWidth="1" style="103" min="5" max="5"/>
    <col width="8.85546875" customWidth="1" style="74" min="6" max="6"/>
    <col width="8.42578125" customWidth="1" style="74" min="7" max="7"/>
    <col width="8.28515625" customWidth="1" style="74" min="8" max="8"/>
    <col width="7.85546875" customWidth="1" style="74" min="9" max="9"/>
    <col width="8.7109375" customWidth="1" style="74" min="10" max="10"/>
    <col width="9" customWidth="1" style="74" min="11" max="11"/>
    <col width="10.28515625" customWidth="1" style="74" min="12" max="12"/>
    <col width="9.7109375" customWidth="1" style="74" min="13" max="13"/>
    <col width="10.28515625" bestFit="1" customWidth="1" style="74" min="14" max="14"/>
    <col width="8.85546875" bestFit="1" customWidth="1" style="74" min="15" max="15"/>
    <col width="1.42578125" customWidth="1" style="74" min="16" max="16"/>
    <col width="12.42578125" bestFit="1" customWidth="1" style="74" min="17" max="17"/>
    <col width="8.140625" bestFit="1" customWidth="1" style="74" min="18" max="18"/>
    <col width="9.42578125" bestFit="1" customWidth="1" style="74" min="19" max="19"/>
    <col width="8.7109375" customWidth="1" style="74" min="20" max="16384"/>
  </cols>
  <sheetData>
    <row r="2">
      <c r="B2" s="86" t="n"/>
      <c r="C2" s="87" t="n"/>
      <c r="D2" s="87" t="n"/>
      <c r="E2" s="203" t="n"/>
      <c r="F2" s="87" t="n"/>
      <c r="G2" s="87" t="n"/>
      <c r="H2" s="87" t="n"/>
      <c r="I2" s="87" t="n"/>
      <c r="J2" s="87" t="n"/>
      <c r="K2" s="87" t="n"/>
      <c r="L2" s="87" t="n"/>
      <c r="M2" s="87" t="n"/>
      <c r="N2" s="87" t="n"/>
      <c r="O2" s="87" t="n"/>
      <c r="P2" s="88" t="n"/>
    </row>
    <row r="3">
      <c r="B3" s="89" t="n"/>
      <c r="P3" s="91" t="n"/>
    </row>
    <row r="4">
      <c r="B4" s="89" t="n"/>
      <c r="P4" s="91" t="n"/>
    </row>
    <row r="5">
      <c r="B5" s="89" t="n"/>
      <c r="C5" s="74" t="inlineStr">
        <is>
          <t>Company Name:</t>
        </is>
      </c>
      <c r="E5" s="46" t="inlineStr">
        <is>
          <t>Mobico</t>
        </is>
      </c>
      <c r="F5" s="47" t="n"/>
      <c r="J5" s="74" t="inlineStr">
        <is>
          <t>Team Number:</t>
        </is>
      </c>
      <c r="L5" s="72" t="n">
        <v>5</v>
      </c>
      <c r="P5" s="91" t="n"/>
    </row>
    <row r="6">
      <c r="B6" s="89" t="n"/>
      <c r="P6" s="91" t="n"/>
    </row>
    <row r="7">
      <c r="B7" s="40" t="inlineStr">
        <is>
          <t>1a. Project P&amp;L:</t>
        </is>
      </c>
      <c r="C7" s="29" t="n"/>
      <c r="D7" s="29" t="n"/>
      <c r="E7" s="51" t="n"/>
      <c r="F7" s="29" t="n"/>
      <c r="G7" s="29" t="n"/>
      <c r="H7" s="29" t="n"/>
      <c r="I7" s="29" t="n"/>
      <c r="J7" s="29" t="n"/>
      <c r="K7" s="29" t="n"/>
      <c r="L7" s="29" t="n"/>
      <c r="M7" s="29" t="n"/>
      <c r="N7" s="29" t="n"/>
      <c r="O7" s="29" t="n"/>
      <c r="P7" s="91" t="n"/>
    </row>
    <row r="8">
      <c r="B8" s="9" t="n"/>
      <c r="C8" s="10" t="n"/>
      <c r="D8" s="10" t="n"/>
      <c r="E8" s="17" t="n"/>
      <c r="F8" s="10" t="n"/>
      <c r="G8" s="10" t="n"/>
      <c r="H8" s="10" t="n"/>
      <c r="I8" s="10" t="n"/>
      <c r="J8" s="10" t="n"/>
      <c r="K8" s="10" t="n"/>
      <c r="L8" s="10" t="n"/>
      <c r="M8" s="10" t="n"/>
      <c r="N8" s="10" t="n"/>
      <c r="P8" s="91" t="n"/>
    </row>
    <row r="9">
      <c r="B9" s="89" t="n"/>
      <c r="C9" s="204" t="n"/>
      <c r="D9" s="204" t="n"/>
      <c r="E9" s="205" t="n"/>
      <c r="F9" s="25" t="inlineStr">
        <is>
          <t>Historical</t>
        </is>
      </c>
      <c r="G9" s="25" t="n"/>
      <c r="H9" s="25" t="n"/>
      <c r="I9" s="25" t="n"/>
      <c r="J9" s="26" t="n"/>
      <c r="K9" s="25" t="inlineStr">
        <is>
          <t>Projected</t>
        </is>
      </c>
      <c r="L9" s="25" t="n"/>
      <c r="M9" s="25" t="n"/>
      <c r="N9" s="25" t="n"/>
      <c r="O9" s="25" t="n"/>
      <c r="P9" s="91" t="n"/>
    </row>
    <row r="10">
      <c r="B10" s="89" t="n"/>
      <c r="C10" s="42" t="inlineStr">
        <is>
          <t>(in € million)</t>
        </is>
      </c>
      <c r="D10" s="39" t="n"/>
      <c r="E10" s="50" t="inlineStr">
        <is>
          <t>Units:</t>
        </is>
      </c>
      <c r="F10" s="30" t="n">
        <v>2019</v>
      </c>
      <c r="G10" s="30" t="n">
        <v>2020</v>
      </c>
      <c r="H10" s="30" t="n">
        <v>2021</v>
      </c>
      <c r="I10" s="30" t="n">
        <v>2022</v>
      </c>
      <c r="J10" s="27" t="n">
        <v>2023</v>
      </c>
      <c r="K10" s="30" t="n">
        <v>2024</v>
      </c>
      <c r="L10" s="30" t="n">
        <v>2025</v>
      </c>
      <c r="M10" s="30" t="n">
        <v>2026</v>
      </c>
      <c r="N10" s="30" t="n">
        <v>2027</v>
      </c>
      <c r="O10" s="30" t="n">
        <v>2028</v>
      </c>
      <c r="P10" s="91" t="n"/>
    </row>
    <row r="11">
      <c r="B11" s="89" t="n"/>
      <c r="K11" s="65" t="n"/>
      <c r="L11" s="65" t="n"/>
      <c r="M11" s="65" t="n"/>
      <c r="N11" s="65" t="n"/>
      <c r="O11" s="65" t="n"/>
      <c r="P11" s="91" t="n"/>
    </row>
    <row r="12">
      <c r="B12" s="89" t="n"/>
      <c r="C12" s="11" t="inlineStr">
        <is>
          <t>Revenue</t>
        </is>
      </c>
      <c r="D12" s="11" t="n"/>
      <c r="E12" s="52" t="inlineStr">
        <is>
          <t>€</t>
        </is>
      </c>
      <c r="F12" s="83" t="n">
        <v>219</v>
      </c>
      <c r="G12" s="83" t="n">
        <v>234</v>
      </c>
      <c r="H12" s="83" t="n">
        <v>251</v>
      </c>
      <c r="I12" s="83" t="n">
        <v>270</v>
      </c>
      <c r="J12" s="83" t="n">
        <v>291</v>
      </c>
      <c r="K12" s="59">
        <f>J12*(1+K13)</f>
        <v/>
      </c>
      <c r="L12" s="59">
        <f>K12*(1+L13)</f>
        <v/>
      </c>
      <c r="M12" s="59">
        <f>L12*(1+M13)</f>
        <v/>
      </c>
      <c r="N12" s="59">
        <f>M12*(1+N13)</f>
        <v/>
      </c>
      <c r="O12" s="59">
        <f>N12*(1+O13)</f>
        <v/>
      </c>
      <c r="P12" s="91" t="n"/>
    </row>
    <row r="13">
      <c r="B13" s="89" t="n"/>
      <c r="C13" s="12" t="inlineStr">
        <is>
          <t>% growth</t>
        </is>
      </c>
      <c r="D13" s="12" t="n"/>
      <c r="E13" s="53" t="inlineStr">
        <is>
          <t>%</t>
        </is>
      </c>
      <c r="F13" s="20" t="n"/>
      <c r="G13" s="330">
        <f>G12/F12-1</f>
        <v/>
      </c>
      <c r="H13" s="330">
        <f>H12/G12-1</f>
        <v/>
      </c>
      <c r="I13" s="330">
        <f>I12/H12-1</f>
        <v/>
      </c>
      <c r="J13" s="330">
        <f>J12/I12-1</f>
        <v/>
      </c>
      <c r="K13" s="331" t="n">
        <v>0.09</v>
      </c>
      <c r="L13" s="331" t="n">
        <v>0.09</v>
      </c>
      <c r="M13" s="331" t="n">
        <v>0.09</v>
      </c>
      <c r="N13" s="331" t="n">
        <v>0.09</v>
      </c>
      <c r="O13" s="331" t="n">
        <v>0.09</v>
      </c>
      <c r="P13" s="91" t="n"/>
    </row>
    <row r="14">
      <c r="B14" s="89" t="n"/>
      <c r="C14" s="12" t="n"/>
      <c r="D14" s="12" t="n"/>
      <c r="E14" s="54" t="n"/>
      <c r="F14" s="12" t="n"/>
      <c r="G14" s="12" t="n"/>
      <c r="H14" s="12" t="n"/>
      <c r="I14" s="12" t="n"/>
      <c r="J14" s="12" t="n"/>
      <c r="K14" s="19" t="n"/>
      <c r="L14" s="19" t="n"/>
      <c r="M14" s="19" t="n"/>
      <c r="N14" s="19" t="n"/>
      <c r="O14" s="19" t="n"/>
      <c r="P14" s="91" t="n"/>
    </row>
    <row r="15">
      <c r="B15" s="89" t="n"/>
      <c r="C15" s="74" t="inlineStr">
        <is>
          <t>Cost of Goods Sold (COGS)</t>
        </is>
      </c>
      <c r="E15" s="103" t="inlineStr">
        <is>
          <t>€</t>
        </is>
      </c>
      <c r="F15" s="75" t="n">
        <v>55</v>
      </c>
      <c r="G15" s="75" t="n">
        <v>58</v>
      </c>
      <c r="H15" s="75" t="n">
        <v>61</v>
      </c>
      <c r="I15" s="75" t="n">
        <v>65</v>
      </c>
      <c r="J15" s="75" t="n">
        <v>70</v>
      </c>
      <c r="K15" s="66">
        <f>K16*K$12</f>
        <v/>
      </c>
      <c r="L15" s="66">
        <f>L16*L$12</f>
        <v/>
      </c>
      <c r="M15" s="66">
        <f>M16*M$12</f>
        <v/>
      </c>
      <c r="N15" s="66">
        <f>N16*N$12</f>
        <v/>
      </c>
      <c r="O15" s="66">
        <f>O16*O$12</f>
        <v/>
      </c>
      <c r="P15" s="91" t="n"/>
    </row>
    <row r="16">
      <c r="B16" s="89" t="n"/>
      <c r="C16" s="12" t="inlineStr">
        <is>
          <t>% of revenue</t>
        </is>
      </c>
      <c r="D16" s="12" t="n"/>
      <c r="E16" s="54" t="inlineStr">
        <is>
          <t>%</t>
        </is>
      </c>
      <c r="F16" s="330">
        <f>F15/F12</f>
        <v/>
      </c>
      <c r="G16" s="330">
        <f>G15/G12</f>
        <v/>
      </c>
      <c r="H16" s="330">
        <f>H15/H12</f>
        <v/>
      </c>
      <c r="I16" s="330">
        <f>I15/I12</f>
        <v/>
      </c>
      <c r="J16" s="330">
        <f>J15/J12</f>
        <v/>
      </c>
      <c r="K16" s="331" t="n">
        <v>0.24</v>
      </c>
      <c r="L16" s="331" t="n">
        <v>0.24</v>
      </c>
      <c r="M16" s="331" t="n">
        <v>0.24</v>
      </c>
      <c r="N16" s="331" t="n">
        <v>0.24</v>
      </c>
      <c r="O16" s="331" t="n">
        <v>0.24</v>
      </c>
      <c r="P16" s="91" t="n"/>
    </row>
    <row r="17">
      <c r="B17" s="89" t="n"/>
      <c r="C17" s="12" t="n"/>
      <c r="D17" s="12" t="n"/>
      <c r="E17" s="54" t="n"/>
      <c r="F17" s="20" t="n"/>
      <c r="G17" s="330" t="n"/>
      <c r="H17" s="330" t="n"/>
      <c r="I17" s="330" t="n"/>
      <c r="J17" s="330" t="n"/>
      <c r="K17" s="423" t="n"/>
      <c r="L17" s="423" t="n"/>
      <c r="M17" s="423" t="n"/>
      <c r="N17" s="423" t="n"/>
      <c r="O17" s="423" t="n"/>
      <c r="P17" s="91" t="n"/>
    </row>
    <row r="18">
      <c r="B18" s="89" t="n"/>
      <c r="C18" s="207" t="inlineStr">
        <is>
          <t>IT Services &amp; Consultancy</t>
        </is>
      </c>
      <c r="D18" s="12" t="n"/>
      <c r="E18" s="103" t="inlineStr">
        <is>
          <t>€</t>
        </is>
      </c>
      <c r="F18" s="75" t="n">
        <v>124</v>
      </c>
      <c r="G18" s="75" t="n">
        <v>133</v>
      </c>
      <c r="H18" s="75" t="n">
        <v>142</v>
      </c>
      <c r="I18" s="75" t="n">
        <v>152</v>
      </c>
      <c r="J18" s="208" t="n">
        <v>175</v>
      </c>
      <c r="K18" s="66">
        <f>K19*K$12</f>
        <v/>
      </c>
      <c r="L18" s="66">
        <f>L19*L$12</f>
        <v/>
      </c>
      <c r="M18" s="66">
        <f>M19*M$12</f>
        <v/>
      </c>
      <c r="N18" s="66">
        <f>N19*N$12</f>
        <v/>
      </c>
      <c r="O18" s="66">
        <f>O19*O$12</f>
        <v/>
      </c>
      <c r="P18" s="91" t="n"/>
    </row>
    <row r="19">
      <c r="B19" s="89" t="n"/>
      <c r="C19" s="12" t="inlineStr">
        <is>
          <t>% of revenue</t>
        </is>
      </c>
      <c r="E19" s="54" t="inlineStr">
        <is>
          <t>%</t>
        </is>
      </c>
      <c r="F19" s="330">
        <f>F18/F12</f>
        <v/>
      </c>
      <c r="G19" s="330">
        <f>G18/G12</f>
        <v/>
      </c>
      <c r="H19" s="330">
        <f>H18/H12</f>
        <v/>
      </c>
      <c r="I19" s="330">
        <f>I18/I12</f>
        <v/>
      </c>
      <c r="J19" s="330">
        <f>J18/J12</f>
        <v/>
      </c>
      <c r="K19" s="331" t="n">
        <v>0.54</v>
      </c>
      <c r="L19" s="331" t="n">
        <v>0.54</v>
      </c>
      <c r="M19" s="331" t="n">
        <v>0.54</v>
      </c>
      <c r="N19" s="331" t="n">
        <v>0.54</v>
      </c>
      <c r="O19" s="331" t="n">
        <v>0.54</v>
      </c>
      <c r="P19" s="91" t="n"/>
      <c r="R19" s="74">
        <f>175-34</f>
        <v/>
      </c>
    </row>
    <row r="20">
      <c r="B20" s="89" t="n"/>
      <c r="C20" s="12" t="n"/>
      <c r="K20" s="18" t="n"/>
      <c r="L20" s="18" t="n"/>
      <c r="M20" s="18" t="n"/>
      <c r="N20" s="18" t="n"/>
      <c r="O20" s="18" t="n"/>
      <c r="P20" s="91" t="n"/>
    </row>
    <row r="21">
      <c r="B21" s="89" t="n"/>
      <c r="C21" s="57" t="inlineStr">
        <is>
          <t>Gross Profit</t>
        </is>
      </c>
      <c r="D21" s="209" t="n"/>
      <c r="E21" s="210" t="inlineStr">
        <is>
          <t>€</t>
        </is>
      </c>
      <c r="F21" s="58">
        <f>F12-F15-F18</f>
        <v/>
      </c>
      <c r="G21" s="58">
        <f>G12-G15-G18</f>
        <v/>
      </c>
      <c r="H21" s="58">
        <f>H12-H15-H18</f>
        <v/>
      </c>
      <c r="I21" s="58">
        <f>I12-I15-I18</f>
        <v/>
      </c>
      <c r="J21" s="58">
        <f>J12-J15-J18</f>
        <v/>
      </c>
      <c r="K21" s="58">
        <f>K12-K15-K18</f>
        <v/>
      </c>
      <c r="L21" s="58">
        <f>L12-L15-L18</f>
        <v/>
      </c>
      <c r="M21" s="58">
        <f>M12-M15-M18</f>
        <v/>
      </c>
      <c r="N21" s="58">
        <f>N12-N15-N18</f>
        <v/>
      </c>
      <c r="O21" s="58">
        <f>O12-O15-O18</f>
        <v/>
      </c>
      <c r="P21" s="91" t="n"/>
    </row>
    <row r="22">
      <c r="B22" s="89" t="n"/>
      <c r="C22" s="12" t="inlineStr">
        <is>
          <t>% of revenue</t>
        </is>
      </c>
      <c r="D22" s="12" t="n"/>
      <c r="E22" s="54" t="inlineStr">
        <is>
          <t>%</t>
        </is>
      </c>
      <c r="F22" s="330">
        <f>F21/F12</f>
        <v/>
      </c>
      <c r="G22" s="330">
        <f>G21/G12</f>
        <v/>
      </c>
      <c r="H22" s="330">
        <f>H21/H12</f>
        <v/>
      </c>
      <c r="I22" s="330">
        <f>I21/I12</f>
        <v/>
      </c>
      <c r="J22" s="330">
        <f>J21/J12</f>
        <v/>
      </c>
      <c r="K22" s="330">
        <f>K21/K12</f>
        <v/>
      </c>
      <c r="L22" s="330">
        <f>L21/L12</f>
        <v/>
      </c>
      <c r="M22" s="330">
        <f>M21/M12</f>
        <v/>
      </c>
      <c r="N22" s="330">
        <f>N21/N12</f>
        <v/>
      </c>
      <c r="O22" s="330">
        <f>O21/O12</f>
        <v/>
      </c>
      <c r="P22" s="91" t="n"/>
    </row>
    <row r="23">
      <c r="B23" s="89" t="n"/>
      <c r="P23" s="91" t="n"/>
    </row>
    <row r="24">
      <c r="B24" s="89" t="n"/>
      <c r="C24" s="207" t="inlineStr">
        <is>
          <t xml:space="preserve">Other Operating Costs </t>
        </is>
      </c>
      <c r="E24" s="103" t="inlineStr">
        <is>
          <t>€</t>
        </is>
      </c>
      <c r="F24" s="75" t="n">
        <v>11</v>
      </c>
      <c r="G24" s="75" t="n">
        <v>11</v>
      </c>
      <c r="H24" s="75" t="n">
        <v>13</v>
      </c>
      <c r="I24" s="75" t="n">
        <v>13</v>
      </c>
      <c r="J24" s="75" t="n">
        <v>14</v>
      </c>
      <c r="K24" s="66">
        <f>K25*K$12</f>
        <v/>
      </c>
      <c r="L24" s="66">
        <f>L25*L$12</f>
        <v/>
      </c>
      <c r="M24" s="66">
        <f>M25*M$12</f>
        <v/>
      </c>
      <c r="N24" s="66">
        <f>N25*N$12</f>
        <v/>
      </c>
      <c r="O24" s="66">
        <f>O25*O$12</f>
        <v/>
      </c>
      <c r="P24" s="91" t="n"/>
    </row>
    <row r="25">
      <c r="B25" s="89" t="n"/>
      <c r="C25" s="12" t="inlineStr">
        <is>
          <t>% revenue</t>
        </is>
      </c>
      <c r="D25" s="12" t="n"/>
      <c r="E25" s="54" t="inlineStr">
        <is>
          <t>%</t>
        </is>
      </c>
      <c r="F25" s="20" t="n"/>
      <c r="G25" s="330">
        <f>G24/G12</f>
        <v/>
      </c>
      <c r="H25" s="330">
        <f>H24/H12</f>
        <v/>
      </c>
      <c r="I25" s="330">
        <f>I24/I12</f>
        <v/>
      </c>
      <c r="J25" s="330">
        <f>J24/J12</f>
        <v/>
      </c>
      <c r="K25" s="331">
        <f>AVERAGE(G25:J25)</f>
        <v/>
      </c>
      <c r="L25" s="331">
        <f>AVERAGE(H25:K25)</f>
        <v/>
      </c>
      <c r="M25" s="331">
        <f>AVERAGE(I25:L25)</f>
        <v/>
      </c>
      <c r="N25" s="331">
        <f>AVERAGE(J25:M25)</f>
        <v/>
      </c>
      <c r="O25" s="331">
        <f>AVERAGE(K25:N25)</f>
        <v/>
      </c>
      <c r="P25" s="91" t="n"/>
    </row>
    <row r="26">
      <c r="B26" s="89" t="n"/>
      <c r="K26" s="18" t="n"/>
      <c r="L26" s="18" t="n"/>
      <c r="M26" s="18" t="n"/>
      <c r="N26" s="18" t="n"/>
      <c r="O26" s="18" t="n"/>
      <c r="P26" s="91" t="n"/>
    </row>
    <row r="27">
      <c r="B27" s="89" t="n"/>
      <c r="C27" s="74" t="inlineStr">
        <is>
          <t>SG&amp;A</t>
        </is>
      </c>
      <c r="E27" s="103" t="inlineStr">
        <is>
          <t>€</t>
        </is>
      </c>
      <c r="F27" s="75" t="n">
        <v>6</v>
      </c>
      <c r="G27" s="75" t="n">
        <v>7</v>
      </c>
      <c r="H27" s="75" t="n">
        <v>8</v>
      </c>
      <c r="I27" s="75" t="n">
        <v>10</v>
      </c>
      <c r="J27" s="75" t="n">
        <v>11</v>
      </c>
      <c r="K27" s="66">
        <f>K28*K$12</f>
        <v/>
      </c>
      <c r="L27" s="66">
        <f>L28*L$12</f>
        <v/>
      </c>
      <c r="M27" s="66">
        <f>M28*M$12</f>
        <v/>
      </c>
      <c r="N27" s="66">
        <f>N28*N$12</f>
        <v/>
      </c>
      <c r="O27" s="66">
        <f>O28*O$12</f>
        <v/>
      </c>
      <c r="P27" s="91" t="n"/>
    </row>
    <row r="28">
      <c r="B28" s="89" t="n"/>
      <c r="C28" s="12" t="inlineStr">
        <is>
          <t>% revenue</t>
        </is>
      </c>
      <c r="D28" s="12" t="n"/>
      <c r="E28" s="54" t="inlineStr">
        <is>
          <t>%</t>
        </is>
      </c>
      <c r="F28" s="20" t="n"/>
      <c r="G28" s="330">
        <f>G27/G12</f>
        <v/>
      </c>
      <c r="H28" s="330">
        <f>H27/H12</f>
        <v/>
      </c>
      <c r="I28" s="330">
        <f>I27/I12</f>
        <v/>
      </c>
      <c r="J28" s="330">
        <f>J27/J12</f>
        <v/>
      </c>
      <c r="K28" s="331">
        <f>AVERAGE(G28:J28)</f>
        <v/>
      </c>
      <c r="L28" s="331" t="n">
        <v>0.03415619104923742</v>
      </c>
      <c r="M28" s="331" t="n">
        <v>0.03415619104923742</v>
      </c>
      <c r="N28" s="331" t="n">
        <v>0.03415619104923742</v>
      </c>
      <c r="O28" s="331" t="n">
        <v>0.03415619104923742</v>
      </c>
      <c r="P28" s="91" t="n"/>
    </row>
    <row r="29">
      <c r="B29" s="89" t="n"/>
      <c r="E29" s="211" t="n"/>
      <c r="P29" s="91" t="n"/>
    </row>
    <row r="30">
      <c r="B30" s="89" t="n"/>
      <c r="C30" s="57" t="inlineStr">
        <is>
          <t>EBITDA</t>
        </is>
      </c>
      <c r="D30" s="57" t="n"/>
      <c r="E30" s="210" t="inlineStr">
        <is>
          <t>€</t>
        </is>
      </c>
      <c r="F30" s="57">
        <f>F21-F24-F27</f>
        <v/>
      </c>
      <c r="G30" s="58">
        <f>G21-G24-G27</f>
        <v/>
      </c>
      <c r="H30" s="58">
        <f>H21-H24-H27</f>
        <v/>
      </c>
      <c r="I30" s="58">
        <f>I21-I24-I27</f>
        <v/>
      </c>
      <c r="J30" s="57">
        <f>J21-J24-J27</f>
        <v/>
      </c>
      <c r="K30" s="58">
        <f>K21-K24-K27</f>
        <v/>
      </c>
      <c r="L30" s="58">
        <f>L21-L24-L27</f>
        <v/>
      </c>
      <c r="M30" s="58">
        <f>M21-M24-M27</f>
        <v/>
      </c>
      <c r="N30" s="58">
        <f>N21-N24-N27</f>
        <v/>
      </c>
      <c r="O30" s="58">
        <f>O21-O24-O27</f>
        <v/>
      </c>
      <c r="P30" s="91" t="n"/>
    </row>
    <row r="31">
      <c r="B31" s="89" t="n"/>
      <c r="C31" s="12" t="inlineStr">
        <is>
          <t>EBITDA margin</t>
        </is>
      </c>
      <c r="E31" s="54" t="inlineStr">
        <is>
          <t>%</t>
        </is>
      </c>
      <c r="F31" s="332">
        <f>F30/F12</f>
        <v/>
      </c>
      <c r="G31" s="332">
        <f>G30/G12</f>
        <v/>
      </c>
      <c r="H31" s="332">
        <f>H30/H12</f>
        <v/>
      </c>
      <c r="I31" s="332">
        <f>I30/I12</f>
        <v/>
      </c>
      <c r="J31" s="332">
        <f>J30/J12</f>
        <v/>
      </c>
      <c r="K31" s="332">
        <f>K30/K12</f>
        <v/>
      </c>
      <c r="L31" s="332">
        <f>L30/L12</f>
        <v/>
      </c>
      <c r="M31" s="332">
        <f>M30/M12</f>
        <v/>
      </c>
      <c r="N31" s="332">
        <f>N30/N12</f>
        <v/>
      </c>
      <c r="O31" s="332">
        <f>O30/O12</f>
        <v/>
      </c>
      <c r="P31" s="91" t="n"/>
    </row>
    <row r="32">
      <c r="B32" s="89" t="n"/>
      <c r="C32" s="12" t="n"/>
      <c r="E32" s="55" t="n"/>
      <c r="F32" s="332" t="n"/>
      <c r="G32" s="332" t="n"/>
      <c r="H32" s="332" t="n"/>
      <c r="I32" s="332" t="n"/>
      <c r="J32" s="332" t="n"/>
      <c r="K32" s="332" t="n"/>
      <c r="L32" s="332" t="n"/>
      <c r="M32" s="332" t="n"/>
      <c r="N32" s="332" t="n"/>
      <c r="O32" s="332" t="n"/>
      <c r="P32" s="91" t="n"/>
    </row>
    <row r="33">
      <c r="B33" s="89" t="n"/>
      <c r="C33" s="74" t="inlineStr">
        <is>
          <t>D&amp;A</t>
        </is>
      </c>
      <c r="E33" s="103" t="inlineStr">
        <is>
          <t>€</t>
        </is>
      </c>
      <c r="F33" s="212" t="n"/>
      <c r="G33" s="212" t="n"/>
      <c r="H33" s="212" t="n"/>
      <c r="I33" s="212" t="n"/>
      <c r="J33" s="212" t="n"/>
      <c r="K33" s="28">
        <f>2%*K12</f>
        <v/>
      </c>
      <c r="L33" s="28">
        <f>2%*L12</f>
        <v/>
      </c>
      <c r="M33" s="28">
        <f>2%*M12</f>
        <v/>
      </c>
      <c r="N33" s="28">
        <f>2%*N12</f>
        <v/>
      </c>
      <c r="O33" s="28">
        <f>2%*O12</f>
        <v/>
      </c>
      <c r="P33" s="91" t="n"/>
      <c r="Q33" s="74" t="inlineStr">
        <is>
          <t>Ask sell side team</t>
        </is>
      </c>
    </row>
    <row r="34">
      <c r="B34" s="89" t="n"/>
      <c r="E34" s="211" t="n"/>
      <c r="K34" s="48" t="n"/>
      <c r="L34" s="49" t="n"/>
      <c r="M34" s="49" t="n"/>
      <c r="N34" s="49" t="n"/>
      <c r="O34" s="49" t="n"/>
      <c r="P34" s="91" t="n"/>
    </row>
    <row r="35">
      <c r="B35" s="89" t="n"/>
      <c r="C35" s="57" t="inlineStr">
        <is>
          <t xml:space="preserve">EBIT  </t>
        </is>
      </c>
      <c r="D35" s="57" t="n"/>
      <c r="E35" s="210" t="inlineStr">
        <is>
          <t>€</t>
        </is>
      </c>
      <c r="F35" s="58">
        <f>F30-F33</f>
        <v/>
      </c>
      <c r="G35" s="58">
        <f>G30-G33</f>
        <v/>
      </c>
      <c r="H35" s="58">
        <f>H30-H33</f>
        <v/>
      </c>
      <c r="I35" s="58">
        <f>I30-I33</f>
        <v/>
      </c>
      <c r="J35" s="58">
        <f>J30-J33</f>
        <v/>
      </c>
      <c r="K35" s="58">
        <f>K30-K33</f>
        <v/>
      </c>
      <c r="L35" s="58">
        <f>L30-L33</f>
        <v/>
      </c>
      <c r="M35" s="58">
        <f>M30-M33</f>
        <v/>
      </c>
      <c r="N35" s="58">
        <f>N30-N33</f>
        <v/>
      </c>
      <c r="O35" s="58">
        <f>O30-O33</f>
        <v/>
      </c>
      <c r="P35" s="91" t="n"/>
    </row>
    <row r="36">
      <c r="B36" s="89" t="n"/>
      <c r="C36" s="12" t="inlineStr">
        <is>
          <t>EBIT margin</t>
        </is>
      </c>
      <c r="E36" s="54" t="inlineStr">
        <is>
          <t>%</t>
        </is>
      </c>
      <c r="F36" s="332">
        <f>F35/F12</f>
        <v/>
      </c>
      <c r="G36" s="332">
        <f>G35/G12</f>
        <v/>
      </c>
      <c r="H36" s="332">
        <f>H35/H12</f>
        <v/>
      </c>
      <c r="I36" s="332">
        <f>I35/I12</f>
        <v/>
      </c>
      <c r="J36" s="332">
        <f>J35/J12</f>
        <v/>
      </c>
      <c r="K36" s="332">
        <f>K35/K12</f>
        <v/>
      </c>
      <c r="L36" s="332">
        <f>L35/L12</f>
        <v/>
      </c>
      <c r="M36" s="332">
        <f>M35/M12</f>
        <v/>
      </c>
      <c r="N36" s="332">
        <f>N35/N12</f>
        <v/>
      </c>
      <c r="O36" s="332">
        <f>O35/O12</f>
        <v/>
      </c>
      <c r="P36" s="91" t="n"/>
    </row>
    <row r="37">
      <c r="B37" s="89" t="n"/>
      <c r="K37" s="48" t="n"/>
      <c r="L37" s="49" t="n"/>
      <c r="M37" s="49" t="n"/>
      <c r="N37" s="49" t="n"/>
      <c r="O37" s="49" t="n"/>
      <c r="P37" s="91" t="n"/>
    </row>
    <row r="38">
      <c r="B38" s="89" t="n"/>
      <c r="C38" s="74" t="inlineStr">
        <is>
          <t>Interest Expense - TLB</t>
        </is>
      </c>
      <c r="E38" s="103" t="inlineStr">
        <is>
          <t>€</t>
        </is>
      </c>
      <c r="K38" s="75">
        <f>$E$53*$E$52</f>
        <v/>
      </c>
      <c r="L38" s="75">
        <f>$E$53*$E$52</f>
        <v/>
      </c>
      <c r="M38" s="75">
        <f>$E$53*$E$52</f>
        <v/>
      </c>
      <c r="N38" s="75">
        <f>$E$53*$E$52</f>
        <v/>
      </c>
      <c r="O38" s="75">
        <f>$E$53*$E$52</f>
        <v/>
      </c>
      <c r="P38" s="91" t="n"/>
    </row>
    <row r="39">
      <c r="B39" s="89" t="n"/>
      <c r="K39" s="75" t="n"/>
      <c r="L39" s="75" t="n"/>
      <c r="M39" s="75" t="n"/>
      <c r="N39" s="75" t="n"/>
      <c r="O39" s="75" t="n"/>
      <c r="P39" s="91" t="n"/>
    </row>
    <row r="40">
      <c r="B40" s="89" t="n"/>
      <c r="C40" s="57" t="inlineStr">
        <is>
          <t>EBT</t>
        </is>
      </c>
      <c r="D40" s="57" t="n"/>
      <c r="E40" s="210" t="inlineStr">
        <is>
          <t>€</t>
        </is>
      </c>
      <c r="F40" s="58" t="n"/>
      <c r="G40" s="58" t="n"/>
      <c r="H40" s="58" t="n"/>
      <c r="I40" s="58" t="n"/>
      <c r="J40" s="58" t="n"/>
      <c r="K40" s="58">
        <f>K35-K38</f>
        <v/>
      </c>
      <c r="L40" s="58">
        <f>L35-L38</f>
        <v/>
      </c>
      <c r="M40" s="58">
        <f>M35-M38</f>
        <v/>
      </c>
      <c r="N40" s="58">
        <f>N35-N38</f>
        <v/>
      </c>
      <c r="O40" s="58">
        <f>O35-O38</f>
        <v/>
      </c>
      <c r="P40" s="91" t="n"/>
    </row>
    <row r="41">
      <c r="B41" s="89" t="n"/>
      <c r="P41" s="91" t="n"/>
    </row>
    <row r="42">
      <c r="B42" s="89" t="n"/>
      <c r="D42" s="62" t="inlineStr">
        <is>
          <t>(Enter Norweigian Corporate Tax Rate)</t>
        </is>
      </c>
      <c r="P42" s="91" t="n"/>
    </row>
    <row r="43">
      <c r="B43" s="89" t="n"/>
      <c r="C43" s="102" t="inlineStr">
        <is>
          <t>Tax    @</t>
        </is>
      </c>
      <c r="D43" s="33" t="n">
        <v>0.22</v>
      </c>
      <c r="E43" s="103" t="inlineStr">
        <is>
          <t>€</t>
        </is>
      </c>
      <c r="F43" s="75" t="n"/>
      <c r="G43" s="75" t="n"/>
      <c r="H43" s="75" t="n"/>
      <c r="I43" s="75" t="n"/>
      <c r="J43" s="75" t="n"/>
      <c r="K43" s="75">
        <f>K40*$D43</f>
        <v/>
      </c>
      <c r="L43" s="75">
        <f>L40*$D43</f>
        <v/>
      </c>
      <c r="M43" s="75">
        <f>M40*$D43</f>
        <v/>
      </c>
      <c r="N43" s="75">
        <f>N40*$D43</f>
        <v/>
      </c>
      <c r="O43" s="75">
        <f>O40*$D43</f>
        <v/>
      </c>
      <c r="P43" s="91" t="n"/>
    </row>
    <row r="44">
      <c r="B44" s="89" t="n"/>
      <c r="E44" s="211" t="n"/>
      <c r="P44" s="91" t="n"/>
      <c r="U44" s="74" t="inlineStr">
        <is>
          <t xml:space="preserve"> </t>
        </is>
      </c>
    </row>
    <row r="45">
      <c r="B45" s="89" t="n"/>
      <c r="C45" s="8" t="inlineStr">
        <is>
          <t>Net Income</t>
        </is>
      </c>
      <c r="D45" s="194" t="n"/>
      <c r="E45" s="213" t="inlineStr">
        <is>
          <t>€</t>
        </is>
      </c>
      <c r="F45" s="14" t="n"/>
      <c r="G45" s="14" t="n"/>
      <c r="H45" s="14" t="n"/>
      <c r="I45" s="14" t="n"/>
      <c r="J45" s="14" t="n"/>
      <c r="K45" s="14">
        <f>K40-K43</f>
        <v/>
      </c>
      <c r="L45" s="14">
        <f>L40-L43</f>
        <v/>
      </c>
      <c r="M45" s="14">
        <f>M40-M43</f>
        <v/>
      </c>
      <c r="N45" s="14">
        <f>N40-N43</f>
        <v/>
      </c>
      <c r="O45" s="14">
        <f>O40-O43</f>
        <v/>
      </c>
      <c r="P45" s="91" t="n"/>
    </row>
    <row r="46">
      <c r="B46" s="89" t="n"/>
      <c r="C46" s="12" t="inlineStr">
        <is>
          <t>Net Income Margin</t>
        </is>
      </c>
      <c r="E46" s="54" t="inlineStr">
        <is>
          <t>%</t>
        </is>
      </c>
      <c r="F46" s="332" t="n"/>
      <c r="G46" s="332" t="n"/>
      <c r="H46" s="332" t="n"/>
      <c r="I46" s="332" t="n"/>
      <c r="J46" s="332" t="n"/>
      <c r="K46" s="332">
        <f>K45/K12</f>
        <v/>
      </c>
      <c r="L46" s="332">
        <f>L45/L12</f>
        <v/>
      </c>
      <c r="M46" s="332">
        <f>M45/M12</f>
        <v/>
      </c>
      <c r="N46" s="332">
        <f>N45/N12</f>
        <v/>
      </c>
      <c r="O46" s="332">
        <f>O45/O12</f>
        <v/>
      </c>
      <c r="P46" s="91" t="n"/>
    </row>
    <row r="47">
      <c r="B47" s="147" t="n"/>
      <c r="C47" s="152" t="n"/>
      <c r="D47" s="152" t="n"/>
      <c r="E47" s="161" t="n"/>
      <c r="F47" s="152" t="n"/>
      <c r="G47" s="152" t="n"/>
      <c r="H47" s="152" t="n"/>
      <c r="I47" s="152" t="n"/>
      <c r="J47" s="152" t="n"/>
      <c r="K47" s="152" t="n"/>
      <c r="L47" s="152" t="n"/>
      <c r="M47" s="152" t="n"/>
      <c r="N47" s="152" t="n"/>
      <c r="O47" s="152" t="n"/>
      <c r="P47" s="150" t="n"/>
    </row>
    <row r="50">
      <c r="B50" s="43" t="inlineStr">
        <is>
          <t>1b. DCM Table:</t>
        </is>
      </c>
      <c r="C50" s="44" t="n"/>
      <c r="D50" s="44" t="n"/>
      <c r="E50" s="56" t="n"/>
      <c r="F50" s="44" t="n"/>
      <c r="G50" s="45" t="n"/>
      <c r="I50" s="10" t="n"/>
      <c r="J50" s="10" t="n"/>
      <c r="K50" s="11" t="n"/>
      <c r="L50" s="11" t="inlineStr">
        <is>
          <t>EV</t>
        </is>
      </c>
      <c r="M50" s="11">
        <f>5*J30</f>
        <v/>
      </c>
      <c r="N50" s="11" t="inlineStr">
        <is>
          <t>using 5x</t>
        </is>
      </c>
      <c r="O50" s="11" t="n"/>
      <c r="P50" s="11" t="n"/>
    </row>
    <row r="51">
      <c r="B51" s="24" t="n"/>
      <c r="C51" s="10" t="n"/>
      <c r="D51" s="10" t="n"/>
      <c r="E51" s="17" t="n"/>
      <c r="F51" s="214" t="n"/>
      <c r="G51" s="215" t="n"/>
      <c r="I51" s="10" t="n"/>
      <c r="K51" s="10" t="n"/>
      <c r="L51" s="10" t="n"/>
      <c r="M51" s="10" t="n"/>
    </row>
    <row r="52">
      <c r="B52" s="89" t="n"/>
      <c r="C52" s="329" t="inlineStr">
        <is>
          <t>Debt (Term Loan B) Amount</t>
        </is>
      </c>
      <c r="D52" s="329" t="n"/>
      <c r="E52" s="73" t="n">
        <v>195</v>
      </c>
      <c r="G52" s="91" t="n"/>
      <c r="J52" s="329" t="n"/>
      <c r="N52" s="165">
        <f>AVERAGE(F30:J30)</f>
        <v/>
      </c>
    </row>
    <row r="53">
      <c r="B53" s="61" t="n"/>
      <c r="C53" s="329" t="inlineStr">
        <is>
          <t>TLB Interest Premium</t>
        </is>
      </c>
      <c r="D53" s="329" t="n"/>
      <c r="E53" s="33" t="n">
        <v>0.0375</v>
      </c>
      <c r="G53" s="91" t="n"/>
      <c r="J53" s="329" t="n"/>
      <c r="N53" s="216">
        <f>N52*5</f>
        <v/>
      </c>
    </row>
    <row r="54">
      <c r="B54" s="61" t="n"/>
      <c r="C54" s="329" t="inlineStr">
        <is>
          <t>EURIBOR</t>
        </is>
      </c>
      <c r="D54" s="329" t="n"/>
      <c r="E54" s="424" t="n">
        <v>0.02218</v>
      </c>
      <c r="G54" s="91" t="n"/>
      <c r="J54" s="329" t="n"/>
      <c r="K54" s="329" t="n"/>
      <c r="L54" s="329" t="n"/>
      <c r="M54" s="329" t="n"/>
      <c r="N54" s="166" t="n"/>
    </row>
    <row r="55">
      <c r="B55" s="147" t="n"/>
      <c r="C55" s="69" t="n"/>
      <c r="D55" s="69" t="n"/>
      <c r="E55" s="70" t="n"/>
      <c r="F55" s="152" t="n"/>
      <c r="G55" s="150" t="n"/>
    </row>
    <row r="56">
      <c r="F56" s="17" t="n"/>
      <c r="G56" s="17" t="n"/>
      <c r="H56" s="17" t="n"/>
    </row>
    <row r="57">
      <c r="E57" s="74" t="n"/>
    </row>
    <row r="58">
      <c r="E58" s="74" t="n"/>
    </row>
    <row r="59">
      <c r="E59" s="74" t="n"/>
    </row>
    <row r="60">
      <c r="E60" s="74" t="n"/>
    </row>
    <row r="61">
      <c r="E61" s="74" t="n"/>
    </row>
    <row r="62">
      <c r="E62" s="74" t="n"/>
    </row>
    <row r="63">
      <c r="F63" s="333" t="n"/>
      <c r="G63" s="333" t="n"/>
      <c r="H63" s="333" t="n"/>
    </row>
    <row r="64">
      <c r="F64" s="333" t="n"/>
      <c r="G64" s="333" t="n"/>
      <c r="H64" s="333" t="n"/>
      <c r="K64" s="200" t="n"/>
      <c r="L64" s="334" t="n"/>
    </row>
    <row r="65">
      <c r="F65" s="333" t="n"/>
      <c r="G65" s="333" t="n"/>
      <c r="H65" s="333" t="n"/>
      <c r="I65" s="333" t="n"/>
      <c r="K65" s="201" t="n"/>
      <c r="L65" s="334" t="n"/>
    </row>
    <row r="66">
      <c r="I66" s="334" t="n"/>
      <c r="L66" s="335" t="n"/>
    </row>
    <row r="67">
      <c r="L67" s="335" t="n"/>
    </row>
  </sheetData>
  <mergeCells count="2">
    <mergeCell ref="J53:M53"/>
    <mergeCell ref="J52:M52"/>
  </mergeCells>
  <pageMargins left="0.7" right="0.7" top="0.75" bottom="0.75" header="0.3" footer="0.3"/>
  <pageSetup orientation="portrait" paperSize="9" horizontalDpi="300"/>
  <drawing xmlns:r="http://schemas.openxmlformats.org/officeDocument/2006/relationships" r:id="rId1"/>
  <legacyDrawing xmlns:r="http://schemas.openxmlformats.org/officeDocument/2006/relationships" r:id="anysvml"/>
</worksheet>
</file>

<file path=xl/worksheets/sheet13.xml><?xml version="1.0" encoding="utf-8"?>
<worksheet xmlns="http://schemas.openxmlformats.org/spreadsheetml/2006/main">
  <sheetPr>
    <tabColor theme="3" tint="0.5999938962981048"/>
    <outlinePr summaryBelow="1" summaryRight="1"/>
    <pageSetUpPr/>
  </sheetPr>
  <dimension ref="B2:N25"/>
  <sheetViews>
    <sheetView showGridLines="0" topLeftCell="A2" workbookViewId="0">
      <selection activeCell="D25" sqref="D25:I25"/>
    </sheetView>
  </sheetViews>
  <sheetFormatPr baseColWidth="8" defaultColWidth="8.7109375" defaultRowHeight="15.75"/>
  <cols>
    <col width="8.7109375" customWidth="1" style="74" min="1" max="1"/>
    <col width="1.42578125" customWidth="1" style="74" min="2" max="2"/>
    <col width="31" customWidth="1" style="74" min="3" max="3"/>
    <col width="8.7109375" customWidth="1" style="74" min="4" max="4"/>
    <col width="9.140625" customWidth="1" style="74" min="5" max="13"/>
    <col width="1.28515625" customWidth="1" style="74" min="14" max="14"/>
    <col width="8.7109375" customWidth="1" style="74" min="15" max="16384"/>
  </cols>
  <sheetData>
    <row r="2">
      <c r="B2" s="86" t="n"/>
      <c r="C2" s="87" t="n"/>
      <c r="D2" s="87" t="n"/>
      <c r="E2" s="87" t="n"/>
      <c r="F2" s="87" t="n"/>
      <c r="G2" s="87" t="n"/>
      <c r="H2" s="87" t="n"/>
      <c r="I2" s="87" t="n"/>
      <c r="J2" s="87" t="n"/>
      <c r="K2" s="87" t="n"/>
      <c r="L2" s="87" t="n"/>
      <c r="M2" s="87" t="n"/>
      <c r="N2" s="88" t="n"/>
    </row>
    <row r="3">
      <c r="B3" s="40" t="inlineStr">
        <is>
          <t>2. Project Working Capital Changes &amp; Capex:</t>
        </is>
      </c>
      <c r="C3" s="29" t="n"/>
      <c r="D3" s="29" t="n"/>
      <c r="E3" s="29" t="n"/>
      <c r="F3" s="29" t="n"/>
      <c r="G3" s="29" t="n"/>
      <c r="H3" s="29" t="n"/>
      <c r="I3" s="29" t="n"/>
      <c r="J3" s="29" t="n"/>
      <c r="K3" s="29" t="n"/>
      <c r="L3" s="29" t="n"/>
      <c r="M3" s="29" t="n"/>
      <c r="N3" s="91" t="n"/>
    </row>
    <row r="4">
      <c r="B4" s="89" t="n"/>
      <c r="N4" s="91" t="n"/>
    </row>
    <row r="5">
      <c r="B5" s="89" t="n"/>
      <c r="C5" s="204" t="n"/>
      <c r="D5" s="25" t="inlineStr">
        <is>
          <t>Historical</t>
        </is>
      </c>
      <c r="E5" s="25" t="n"/>
      <c r="F5" s="25" t="n"/>
      <c r="G5" s="25" t="n"/>
      <c r="H5" s="26" t="n"/>
      <c r="I5" s="25" t="inlineStr">
        <is>
          <t>Projected</t>
        </is>
      </c>
      <c r="J5" s="25" t="n"/>
      <c r="K5" s="25" t="n"/>
      <c r="L5" s="25" t="n"/>
      <c r="M5" s="25" t="n"/>
      <c r="N5" s="91" t="n"/>
    </row>
    <row r="6">
      <c r="B6" s="89" t="n"/>
      <c r="C6" s="42" t="inlineStr">
        <is>
          <t>(in € million)</t>
        </is>
      </c>
      <c r="D6" s="30" t="n">
        <v>2019</v>
      </c>
      <c r="E6" s="30" t="n">
        <v>2020</v>
      </c>
      <c r="F6" s="30" t="n">
        <v>2021</v>
      </c>
      <c r="G6" s="30" t="n">
        <v>2022</v>
      </c>
      <c r="H6" s="27" t="n">
        <v>2023</v>
      </c>
      <c r="I6" s="30" t="n">
        <v>2024</v>
      </c>
      <c r="J6" s="30" t="n">
        <v>2025</v>
      </c>
      <c r="K6" s="30" t="n">
        <v>2026</v>
      </c>
      <c r="L6" s="30" t="n">
        <v>2027</v>
      </c>
      <c r="M6" s="30" t="n">
        <v>2028</v>
      </c>
      <c r="N6" s="91" t="n"/>
    </row>
    <row r="7">
      <c r="B7" s="89" t="n"/>
      <c r="D7" s="13" t="n"/>
      <c r="E7" s="13" t="n"/>
      <c r="F7" s="13" t="n"/>
      <c r="G7" s="67" t="n"/>
      <c r="H7" s="13" t="n"/>
      <c r="I7" s="13" t="n"/>
      <c r="J7" s="13" t="n"/>
      <c r="K7" s="13" t="n"/>
      <c r="L7" s="13" t="n"/>
      <c r="M7" s="13" t="n"/>
      <c r="N7" s="91" t="n"/>
    </row>
    <row r="8">
      <c r="B8" s="89" t="n"/>
      <c r="C8" s="74" t="inlineStr">
        <is>
          <t>Inventory</t>
        </is>
      </c>
      <c r="D8" s="75" t="n">
        <v>9</v>
      </c>
      <c r="E8" s="75" t="n">
        <v>9</v>
      </c>
      <c r="F8" s="75" t="n">
        <v>10</v>
      </c>
      <c r="G8" s="75" t="n">
        <v>11</v>
      </c>
      <c r="H8" s="75" t="n">
        <v>12</v>
      </c>
      <c r="I8" s="220" t="n">
        <v>12.53640254555168</v>
      </c>
      <c r="J8" s="220" t="n">
        <v>13.66467877465133</v>
      </c>
      <c r="K8" s="220" t="n">
        <v>14.89449986436995</v>
      </c>
      <c r="L8" s="220" t="n">
        <v>16.23500485216325</v>
      </c>
      <c r="M8" s="220" t="n">
        <v>17.69615528885794</v>
      </c>
      <c r="N8" s="91" t="n"/>
    </row>
    <row r="9">
      <c r="B9" s="89" t="n"/>
      <c r="C9" s="74" t="inlineStr">
        <is>
          <t>Accounts Receivable</t>
        </is>
      </c>
      <c r="D9" s="75" t="n">
        <v>22</v>
      </c>
      <c r="E9" s="75" t="n">
        <v>23</v>
      </c>
      <c r="F9" s="75" t="n">
        <v>25</v>
      </c>
      <c r="G9" s="75" t="n">
        <v>27</v>
      </c>
      <c r="H9" s="75" t="n">
        <v>29</v>
      </c>
      <c r="I9" s="220" t="n">
        <v>31.59245199406099</v>
      </c>
      <c r="J9" s="220" t="n">
        <v>34.43577267352647</v>
      </c>
      <c r="K9" s="220" t="n">
        <v>37.53499221414386</v>
      </c>
      <c r="L9" s="220" t="n">
        <v>40.91314151341681</v>
      </c>
      <c r="M9" s="220" t="n">
        <v>44.59532424962433</v>
      </c>
      <c r="N9" s="91" t="n"/>
    </row>
    <row r="10">
      <c r="B10" s="89" t="n"/>
      <c r="C10" s="74" t="inlineStr">
        <is>
          <t>Accounts Payable</t>
        </is>
      </c>
      <c r="D10" s="75" t="n">
        <v>13</v>
      </c>
      <c r="E10" s="75" t="n">
        <v>14</v>
      </c>
      <c r="F10" s="75" t="n">
        <v>15</v>
      </c>
      <c r="G10" s="75" t="n">
        <v>16</v>
      </c>
      <c r="H10" s="75" t="n">
        <v>17</v>
      </c>
      <c r="I10" s="220" t="n">
        <v>18.46282664901407</v>
      </c>
      <c r="J10" s="220" t="n">
        <v>20.12448104742534</v>
      </c>
      <c r="K10" s="220" t="n">
        <v>21.93568434169362</v>
      </c>
      <c r="L10" s="220" t="n">
        <v>23.90989593244604</v>
      </c>
      <c r="M10" s="220" t="n">
        <v>26.06178656636619</v>
      </c>
      <c r="N10" s="91" t="n"/>
    </row>
    <row r="11">
      <c r="B11" s="89" t="n"/>
      <c r="N11" s="91" t="n"/>
    </row>
    <row r="12">
      <c r="B12" s="89" t="n"/>
      <c r="C12" s="74" t="inlineStr">
        <is>
          <t>Working Capital</t>
        </is>
      </c>
      <c r="D12" s="75">
        <f>D8+D9-D10</f>
        <v/>
      </c>
      <c r="E12" s="75">
        <f>E8+E9-E10</f>
        <v/>
      </c>
      <c r="F12" s="75">
        <f>F8+F9-F10</f>
        <v/>
      </c>
      <c r="G12" s="75">
        <f>G8+G9-G10</f>
        <v/>
      </c>
      <c r="H12" s="221">
        <f>H8+H9-H10</f>
        <v/>
      </c>
      <c r="I12" s="221">
        <f>I8+I9-I10</f>
        <v/>
      </c>
      <c r="J12" s="221">
        <f>J8+J9-J10</f>
        <v/>
      </c>
      <c r="K12" s="221">
        <f>K8+K9-K10</f>
        <v/>
      </c>
      <c r="L12" s="221">
        <f>L8+L9-L10</f>
        <v/>
      </c>
      <c r="M12" s="221">
        <f>M8+M9-M10</f>
        <v/>
      </c>
      <c r="N12" s="91" t="n"/>
    </row>
    <row r="13">
      <c r="B13" s="89" t="n"/>
      <c r="C13" s="57" t="inlineStr">
        <is>
          <t>Change in Working Capital</t>
        </is>
      </c>
      <c r="D13" s="58" t="n">
        <v>3</v>
      </c>
      <c r="E13" s="58">
        <f>-E12+D12</f>
        <v/>
      </c>
      <c r="F13" s="58">
        <f>-F12+E12</f>
        <v/>
      </c>
      <c r="G13" s="58">
        <f>-G12+F12</f>
        <v/>
      </c>
      <c r="H13" s="58">
        <f>-H12+G12</f>
        <v/>
      </c>
      <c r="I13" s="58">
        <f>-I12+H12</f>
        <v/>
      </c>
      <c r="J13" s="58">
        <f>-J12+I12</f>
        <v/>
      </c>
      <c r="K13" s="58">
        <f>-K12+J12</f>
        <v/>
      </c>
      <c r="L13" s="58">
        <f>-L12+K12</f>
        <v/>
      </c>
      <c r="M13" s="58">
        <f>-M12+L12</f>
        <v/>
      </c>
      <c r="N13" s="91" t="n"/>
    </row>
    <row r="14">
      <c r="B14" s="89" t="n"/>
      <c r="C14" s="209" t="n"/>
      <c r="D14" s="209" t="n"/>
      <c r="E14" s="209" t="n"/>
      <c r="F14" s="209" t="n"/>
      <c r="G14" s="209" t="n"/>
      <c r="H14" s="209" t="n"/>
      <c r="I14" s="209" t="n"/>
      <c r="J14" s="209" t="n"/>
      <c r="K14" s="209" t="n"/>
      <c r="L14" s="209" t="n"/>
      <c r="M14" s="209" t="n"/>
      <c r="N14" s="91" t="n"/>
    </row>
    <row r="15">
      <c r="B15" s="89" t="n"/>
      <c r="C15" s="137" t="inlineStr">
        <is>
          <t>Capex</t>
        </is>
      </c>
      <c r="D15" s="221" t="n">
        <v>-4.38</v>
      </c>
      <c r="E15" s="221" t="n">
        <v>-4.704</v>
      </c>
      <c r="F15" s="221" t="n">
        <v>-5.076</v>
      </c>
      <c r="G15" s="221" t="n">
        <v>-5</v>
      </c>
      <c r="H15" s="221" t="n">
        <v>-15</v>
      </c>
      <c r="I15" s="77" t="n">
        <v>-5.855815384615385</v>
      </c>
      <c r="J15" s="77" t="n">
        <v>-6.382838769230768</v>
      </c>
      <c r="K15" s="77" t="n">
        <v>-6.957294258461539</v>
      </c>
      <c r="L15" s="77" t="n">
        <v>-7.583450741723078</v>
      </c>
      <c r="M15" s="77" t="n">
        <v>-8.265961308478156</v>
      </c>
      <c r="N15" s="91" t="n"/>
    </row>
    <row r="16">
      <c r="B16" s="147" t="n"/>
      <c r="C16" s="152" t="n"/>
      <c r="D16" s="152" t="n"/>
      <c r="E16" s="152" t="n"/>
      <c r="F16" s="152" t="n"/>
      <c r="G16" s="152" t="n"/>
      <c r="H16" s="152" t="n"/>
      <c r="I16" s="152" t="n"/>
      <c r="J16" s="152" t="n"/>
      <c r="K16" s="152" t="n"/>
      <c r="L16" s="152" t="n"/>
      <c r="M16" s="152" t="n"/>
      <c r="N16" s="150" t="n"/>
    </row>
    <row r="17">
      <c r="D17" s="75" t="n"/>
      <c r="E17" s="75" t="n"/>
      <c r="F17" s="75" t="n"/>
      <c r="G17" s="75" t="n"/>
      <c r="H17" s="75" t="n"/>
    </row>
    <row r="18">
      <c r="C18" s="74" t="inlineStr">
        <is>
          <t>Inventory days</t>
        </is>
      </c>
      <c r="D18" s="75">
        <f>D8/'P&amp;L'!F15*365</f>
        <v/>
      </c>
      <c r="E18" s="75">
        <f>E8/'P&amp;L'!G15*365</f>
        <v/>
      </c>
      <c r="F18" s="75">
        <f>F8/'P&amp;L'!H15*365</f>
        <v/>
      </c>
      <c r="G18" s="75">
        <f>G8/'P&amp;L'!I15*365</f>
        <v/>
      </c>
      <c r="H18" s="75">
        <f>H8/'P&amp;L'!J15*365</f>
        <v/>
      </c>
      <c r="I18" s="75">
        <f>AVERAGE(D18:H18)</f>
        <v/>
      </c>
      <c r="J18" s="75" t="n"/>
      <c r="K18" s="75" t="n"/>
      <c r="L18" s="75" t="n"/>
      <c r="M18" s="75" t="n"/>
    </row>
    <row r="19">
      <c r="C19" s="74" t="inlineStr">
        <is>
          <t>AR days</t>
        </is>
      </c>
      <c r="D19" s="75">
        <f>D9/'P&amp;L'!F12*365</f>
        <v/>
      </c>
      <c r="E19" s="75">
        <f>E9/'P&amp;L'!G12*365</f>
        <v/>
      </c>
      <c r="F19" s="75">
        <f>F9/'P&amp;L'!H12*365</f>
        <v/>
      </c>
      <c r="G19" s="75">
        <f>G9/'P&amp;L'!I12*365</f>
        <v/>
      </c>
      <c r="H19" s="75">
        <f>H9/'P&amp;L'!J12*365</f>
        <v/>
      </c>
      <c r="I19" s="75">
        <f>AVERAGE(D19:H19)</f>
        <v/>
      </c>
    </row>
    <row r="20">
      <c r="C20" s="74" t="inlineStr">
        <is>
          <t>AP days</t>
        </is>
      </c>
      <c r="D20" s="75">
        <f>D10/'P&amp;L'!F15*365</f>
        <v/>
      </c>
      <c r="E20" s="75">
        <f>E10/'P&amp;L'!G15*365</f>
        <v/>
      </c>
      <c r="F20" s="75">
        <f>F10/'P&amp;L'!H15*365</f>
        <v/>
      </c>
      <c r="G20" s="75">
        <f>G10/'P&amp;L'!I15*365</f>
        <v/>
      </c>
      <c r="H20" s="75">
        <f>H10/'P&amp;L'!J15*365</f>
        <v/>
      </c>
      <c r="I20" s="75">
        <f>AVERAGE(D20:H20)</f>
        <v/>
      </c>
    </row>
    <row r="23">
      <c r="C23" s="74" t="inlineStr">
        <is>
          <t>Capex</t>
        </is>
      </c>
      <c r="D23" s="201">
        <f>D15/'P&amp;L'!F15</f>
        <v/>
      </c>
      <c r="E23" s="201">
        <f>E15/'P&amp;L'!G15</f>
        <v/>
      </c>
      <c r="F23" s="201">
        <f>F15/'P&amp;L'!H15</f>
        <v/>
      </c>
      <c r="G23" s="201">
        <f>G15/'P&amp;L'!I15</f>
        <v/>
      </c>
      <c r="H23" s="201">
        <f>H15/'P&amp;L'!J15</f>
        <v/>
      </c>
      <c r="I23" s="201">
        <f>I15/'P&amp;L'!K15</f>
        <v/>
      </c>
    </row>
    <row r="25">
      <c r="C25" s="74" t="inlineStr">
        <is>
          <t>Capex revenue</t>
        </is>
      </c>
      <c r="D25" s="200">
        <f>D15/'P&amp;L'!F12</f>
        <v/>
      </c>
      <c r="E25" s="200">
        <f>E15/'P&amp;L'!G12</f>
        <v/>
      </c>
      <c r="F25" s="200">
        <f>F15/'P&amp;L'!H12</f>
        <v/>
      </c>
      <c r="G25" s="200">
        <f>G15/'P&amp;L'!I12</f>
        <v/>
      </c>
      <c r="H25" s="200">
        <f>H15/'P&amp;L'!J12</f>
        <v/>
      </c>
      <c r="I25" s="200">
        <f>I15/'P&amp;L'!K12</f>
        <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theme="3" tint="0.7999816888943144"/>
    <outlinePr summaryBelow="1" summaryRight="1"/>
    <pageSetUpPr/>
  </sheetPr>
  <dimension ref="B2:J14"/>
  <sheetViews>
    <sheetView showGridLines="0" topLeftCell="AA1" workbookViewId="0">
      <selection activeCell="I15" sqref="I15"/>
    </sheetView>
  </sheetViews>
  <sheetFormatPr baseColWidth="8" defaultColWidth="8.7109375" defaultRowHeight="15.75"/>
  <cols>
    <col width="8.7109375" customWidth="1" style="74" min="1" max="1"/>
    <col width="1.28515625" customWidth="1" style="74" min="2" max="2"/>
    <col width="31.42578125" customWidth="1" style="74" min="3" max="3"/>
    <col width="9.140625" customWidth="1" style="74" min="4" max="5"/>
    <col width="9.85546875" customWidth="1" style="74" min="6" max="6"/>
    <col width="9.140625" customWidth="1" style="74" min="7" max="9"/>
    <col width="1.42578125" customWidth="1" style="74" min="10" max="10"/>
    <col width="8.7109375" customWidth="1" style="74" min="11" max="16384"/>
  </cols>
  <sheetData>
    <row r="2">
      <c r="B2" s="86" t="n"/>
      <c r="C2" s="87" t="n"/>
      <c r="D2" s="87" t="n"/>
      <c r="E2" s="87" t="n"/>
      <c r="F2" s="87" t="n"/>
      <c r="G2" s="87" t="n"/>
      <c r="H2" s="87" t="n"/>
      <c r="I2" s="87" t="n"/>
      <c r="J2" s="88" t="n"/>
    </row>
    <row r="3">
      <c r="B3" s="40" t="inlineStr">
        <is>
          <t>3. Calculate Free Cash Flow:</t>
        </is>
      </c>
      <c r="C3" s="29" t="n"/>
      <c r="D3" s="29" t="n"/>
      <c r="E3" s="29" t="n"/>
      <c r="F3" s="29" t="n"/>
      <c r="G3" s="29" t="n"/>
      <c r="H3" s="29" t="n"/>
      <c r="I3" s="29" t="n"/>
      <c r="J3" s="91" t="n"/>
    </row>
    <row r="4">
      <c r="B4" s="89" t="n"/>
      <c r="J4" s="91" t="n"/>
    </row>
    <row r="5">
      <c r="B5" s="89" t="n"/>
      <c r="C5" s="42" t="n"/>
      <c r="D5" s="26" t="inlineStr">
        <is>
          <t>Actual</t>
        </is>
      </c>
      <c r="E5" s="25" t="inlineStr">
        <is>
          <t>Projected</t>
        </is>
      </c>
      <c r="F5" s="25" t="n"/>
      <c r="G5" s="25" t="n"/>
      <c r="H5" s="25" t="n"/>
      <c r="I5" s="25" t="n"/>
      <c r="J5" s="91" t="n"/>
    </row>
    <row r="6">
      <c r="B6" s="89" t="n"/>
      <c r="C6" s="42" t="inlineStr">
        <is>
          <t>(in € million)</t>
        </is>
      </c>
      <c r="D6" s="27" t="n">
        <v>2023</v>
      </c>
      <c r="E6" s="30" t="n">
        <v>2024</v>
      </c>
      <c r="F6" s="30" t="n">
        <v>2025</v>
      </c>
      <c r="G6" s="30" t="n">
        <v>2026</v>
      </c>
      <c r="H6" s="30" t="n">
        <v>2027</v>
      </c>
      <c r="I6" s="30" t="n">
        <v>2027</v>
      </c>
      <c r="J6" s="91" t="n"/>
    </row>
    <row r="7">
      <c r="B7" s="89" t="n"/>
      <c r="D7" s="222" t="n"/>
      <c r="J7" s="91" t="n"/>
    </row>
    <row r="8">
      <c r="B8" s="89" t="n"/>
      <c r="C8" s="74" t="inlineStr">
        <is>
          <t>(+) EBITDA</t>
        </is>
      </c>
      <c r="D8" s="223" t="n"/>
      <c r="E8" s="71">
        <f>'P&amp;L'!K30</f>
        <v/>
      </c>
      <c r="F8" s="71">
        <f>'P&amp;L'!L30</f>
        <v/>
      </c>
      <c r="G8" s="71">
        <f>'P&amp;L'!M30</f>
        <v/>
      </c>
      <c r="H8" s="71">
        <f>'P&amp;L'!N30</f>
        <v/>
      </c>
      <c r="I8" s="71">
        <f>'P&amp;L'!O30</f>
        <v/>
      </c>
      <c r="J8" s="91" t="n"/>
    </row>
    <row r="9">
      <c r="B9" s="89" t="n"/>
      <c r="C9" s="74" t="inlineStr">
        <is>
          <t>(-) Interest Expense</t>
        </is>
      </c>
      <c r="D9" s="223" t="n"/>
      <c r="E9" s="71">
        <f>-'P&amp;L'!K38</f>
        <v/>
      </c>
      <c r="F9" s="71">
        <f>-'P&amp;L'!L38</f>
        <v/>
      </c>
      <c r="G9" s="71">
        <f>-'P&amp;L'!M38</f>
        <v/>
      </c>
      <c r="H9" s="71">
        <f>-'P&amp;L'!N38</f>
        <v/>
      </c>
      <c r="I9" s="71">
        <f>-'P&amp;L'!O38</f>
        <v/>
      </c>
      <c r="J9" s="91" t="n"/>
    </row>
    <row r="10">
      <c r="B10" s="89" t="n"/>
      <c r="C10" s="74" t="inlineStr">
        <is>
          <t>(-) Taxes</t>
        </is>
      </c>
      <c r="D10" s="222" t="n"/>
      <c r="E10" s="71">
        <f>-'P&amp;L'!K43</f>
        <v/>
      </c>
      <c r="F10" s="71">
        <f>-'P&amp;L'!L43</f>
        <v/>
      </c>
      <c r="G10" s="71">
        <f>-'P&amp;L'!M43</f>
        <v/>
      </c>
      <c r="H10" s="71">
        <f>-'P&amp;L'!N43</f>
        <v/>
      </c>
      <c r="I10" s="71">
        <f>-'P&amp;L'!O43</f>
        <v/>
      </c>
      <c r="J10" s="91" t="n"/>
    </row>
    <row r="11">
      <c r="B11" s="89" t="n"/>
      <c r="C11" s="74" t="inlineStr">
        <is>
          <t>(-/+) Change in Working Capital</t>
        </is>
      </c>
      <c r="D11" s="222" t="n"/>
      <c r="E11" s="71">
        <f>'Working Capital &amp; Capex'!I13</f>
        <v/>
      </c>
      <c r="F11" s="71">
        <f>'Working Capital &amp; Capex'!J13</f>
        <v/>
      </c>
      <c r="G11" s="71">
        <f>'Working Capital &amp; Capex'!K13</f>
        <v/>
      </c>
      <c r="H11" s="71">
        <f>'Working Capital &amp; Capex'!L13</f>
        <v/>
      </c>
      <c r="I11" s="71">
        <f>'Working Capital &amp; Capex'!M13</f>
        <v/>
      </c>
      <c r="J11" s="91" t="n"/>
    </row>
    <row r="12">
      <c r="B12" s="89" t="n"/>
      <c r="C12" s="137" t="inlineStr">
        <is>
          <t>(-) Capex</t>
        </is>
      </c>
      <c r="D12" s="137" t="n"/>
      <c r="E12" s="233">
        <f>'Working Capital &amp; Capex'!I15</f>
        <v/>
      </c>
      <c r="F12" s="234">
        <f>'Working Capital &amp; Capex'!J15</f>
        <v/>
      </c>
      <c r="G12" s="234">
        <f>'Working Capital &amp; Capex'!K15</f>
        <v/>
      </c>
      <c r="H12" s="234">
        <f>'Working Capital &amp; Capex'!L15</f>
        <v/>
      </c>
      <c r="I12" s="234">
        <f>'Working Capital &amp; Capex'!M15</f>
        <v/>
      </c>
      <c r="J12" s="91" t="n"/>
    </row>
    <row r="13">
      <c r="B13" s="147" t="n"/>
      <c r="C13" s="8" t="inlineStr">
        <is>
          <t>Free Cash Flow to Equity (FCFE)</t>
        </is>
      </c>
      <c r="D13" s="15" t="n"/>
      <c r="E13" s="41">
        <f>SUM(E8:E12)</f>
        <v/>
      </c>
      <c r="F13" s="41">
        <f>SUM(F8:F12)</f>
        <v/>
      </c>
      <c r="G13" s="41">
        <f>SUM(G8:G12)</f>
        <v/>
      </c>
      <c r="H13" s="41">
        <f>SUM(H8:H12)</f>
        <v/>
      </c>
      <c r="I13" s="41">
        <f>SUM(I8:I12)</f>
        <v/>
      </c>
      <c r="J13" s="91" t="n"/>
    </row>
    <row r="14">
      <c r="B14" s="147" t="n"/>
      <c r="C14" s="152" t="n"/>
      <c r="D14" s="225" t="n"/>
      <c r="E14" s="225" t="n"/>
      <c r="F14" s="225" t="n"/>
      <c r="G14" s="225" t="n"/>
      <c r="H14" s="152" t="n"/>
      <c r="I14" s="152" t="n"/>
      <c r="J14" s="150" t="n"/>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4" tint="0.7999816888943144"/>
    <outlinePr summaryBelow="1" summaryRight="1"/>
    <pageSetUpPr/>
  </sheetPr>
  <dimension ref="B2:Q25"/>
  <sheetViews>
    <sheetView showGridLines="0" topLeftCell="A12" zoomScale="84" workbookViewId="0">
      <selection activeCell="K28" sqref="K28"/>
    </sheetView>
  </sheetViews>
  <sheetFormatPr baseColWidth="8" defaultColWidth="8.7109375" defaultRowHeight="15.75"/>
  <cols>
    <col width="8.7109375" customWidth="1" style="74" min="1" max="1"/>
    <col width="1.85546875" customWidth="1" style="74" min="2" max="2"/>
    <col width="36.140625" bestFit="1" customWidth="1" style="74" min="3" max="3"/>
    <col width="13.140625" bestFit="1" customWidth="1" style="74" min="4" max="4"/>
    <col width="9.42578125" bestFit="1" customWidth="1" style="74" min="5" max="5"/>
    <col width="9.7109375" customWidth="1" style="74" min="6" max="6"/>
    <col width="9.140625" customWidth="1" style="74" min="7" max="9"/>
    <col width="1.140625" customWidth="1" style="74" min="10" max="10"/>
    <col width="8.140625" customWidth="1" style="74" min="11" max="11"/>
    <col width="1" customWidth="1" style="74" min="12" max="12"/>
    <col width="10" bestFit="1" customWidth="1" style="74" min="13" max="13"/>
    <col width="8.7109375" customWidth="1" style="74" min="14" max="16384"/>
  </cols>
  <sheetData>
    <row r="2">
      <c r="B2" s="86" t="n"/>
      <c r="C2" s="87" t="n"/>
      <c r="D2" s="87" t="n"/>
      <c r="E2" s="87" t="n"/>
      <c r="F2" s="87" t="n"/>
      <c r="G2" s="87" t="n"/>
      <c r="H2" s="87" t="n"/>
      <c r="I2" s="87" t="n"/>
      <c r="J2" s="88" t="n"/>
    </row>
    <row r="3">
      <c r="B3" s="40" t="inlineStr">
        <is>
          <t>4. Discounted Cash Flow Valuation (DCF):</t>
        </is>
      </c>
      <c r="C3" s="29" t="n"/>
      <c r="D3" s="29" t="n"/>
      <c r="E3" s="29" t="n"/>
      <c r="F3" s="29" t="n"/>
      <c r="G3" s="29" t="n"/>
      <c r="H3" s="29" t="n"/>
      <c r="I3" s="29" t="n"/>
      <c r="J3" s="23" t="n"/>
      <c r="K3" s="10" t="n"/>
      <c r="L3" s="10" t="n"/>
      <c r="M3" s="10" t="n"/>
      <c r="N3" s="10" t="n"/>
      <c r="O3" s="10" t="n"/>
      <c r="P3" s="10" t="n"/>
      <c r="Q3" s="10" t="n"/>
    </row>
    <row r="4">
      <c r="B4" s="89" t="n"/>
      <c r="J4" s="91" t="n"/>
    </row>
    <row r="5">
      <c r="B5" s="89" t="n"/>
      <c r="C5" s="42" t="n"/>
      <c r="D5" s="35" t="inlineStr">
        <is>
          <t>Actual</t>
        </is>
      </c>
      <c r="E5" s="25" t="inlineStr">
        <is>
          <t>Projected</t>
        </is>
      </c>
      <c r="F5" s="31" t="n"/>
      <c r="G5" s="31" t="n"/>
      <c r="H5" s="31" t="n"/>
      <c r="I5" s="31" t="n"/>
      <c r="J5" s="91" t="n"/>
    </row>
    <row r="6">
      <c r="B6" s="89" t="n"/>
      <c r="C6" s="42" t="inlineStr">
        <is>
          <t>(in € million)</t>
        </is>
      </c>
      <c r="D6" s="27" t="n">
        <v>2023</v>
      </c>
      <c r="E6" s="30" t="n">
        <v>2024</v>
      </c>
      <c r="F6" s="30" t="n">
        <v>2025</v>
      </c>
      <c r="G6" s="30" t="n">
        <v>2026</v>
      </c>
      <c r="H6" s="30" t="n">
        <v>2027</v>
      </c>
      <c r="I6" s="30" t="n">
        <v>2027</v>
      </c>
      <c r="J6" s="91" t="n"/>
    </row>
    <row r="7">
      <c r="B7" s="89" t="n"/>
      <c r="J7" s="91" t="n"/>
    </row>
    <row r="8">
      <c r="B8" s="89" t="n"/>
      <c r="C8" s="74" t="inlineStr">
        <is>
          <t>FCFE</t>
        </is>
      </c>
      <c r="E8" s="226">
        <f>'FCFF &amp; FCFE'!E13</f>
        <v/>
      </c>
      <c r="F8" s="226">
        <f>'FCFF &amp; FCFE'!F13</f>
        <v/>
      </c>
      <c r="G8" s="226">
        <f>'FCFF &amp; FCFE'!G13</f>
        <v/>
      </c>
      <c r="H8" s="226">
        <f>'FCFF &amp; FCFE'!H13</f>
        <v/>
      </c>
      <c r="I8" s="226">
        <f>'FCFF &amp; FCFE'!I13</f>
        <v/>
      </c>
      <c r="J8" s="91" t="n"/>
    </row>
    <row r="9">
      <c r="B9" s="89" t="n"/>
      <c r="E9" s="227" t="n"/>
      <c r="F9" s="227" t="n"/>
      <c r="G9" s="227" t="n"/>
      <c r="H9" s="227" t="n"/>
      <c r="I9" s="227" t="n"/>
      <c r="J9" s="91" t="n"/>
    </row>
    <row r="10">
      <c r="B10" s="89" t="n"/>
      <c r="C10" s="74" t="inlineStr">
        <is>
          <t>PV of FCFE</t>
        </is>
      </c>
      <c r="E10" s="226">
        <f>E8/(1+$D$16)^1</f>
        <v/>
      </c>
      <c r="F10" s="226">
        <f>F8/(1+$D$16)^2</f>
        <v/>
      </c>
      <c r="G10" s="226">
        <f>G8/(1+$D$16)^3</f>
        <v/>
      </c>
      <c r="H10" s="226">
        <f>H8/(1+$D$16)^4</f>
        <v/>
      </c>
      <c r="I10" s="226">
        <f>I8/(1+$D$16)^5</f>
        <v/>
      </c>
      <c r="J10" s="91" t="n"/>
    </row>
    <row r="11">
      <c r="B11" s="89" t="n"/>
      <c r="E11" s="228" t="n"/>
      <c r="F11" s="228" t="n"/>
      <c r="G11" s="228" t="n"/>
      <c r="H11" s="228" t="n"/>
      <c r="I11" s="228" t="n"/>
      <c r="J11" s="91" t="n"/>
    </row>
    <row r="12">
      <c r="B12" s="89" t="n"/>
      <c r="C12" s="74" t="inlineStr">
        <is>
          <t>Terminal Value</t>
        </is>
      </c>
      <c r="E12" s="229" t="n"/>
      <c r="F12" s="229" t="n"/>
      <c r="G12" s="229" t="n"/>
      <c r="H12" s="230" t="inlineStr">
        <is>
          <t>=</t>
        </is>
      </c>
      <c r="I12" s="336">
        <f>I8*(1+D18)/(D16-D18)</f>
        <v/>
      </c>
      <c r="J12" s="91" t="n"/>
    </row>
    <row r="13">
      <c r="B13" s="89" t="n"/>
      <c r="E13" s="229" t="n"/>
      <c r="F13" s="229" t="n"/>
      <c r="G13" s="229" t="n"/>
      <c r="H13" s="232" t="n"/>
      <c r="I13" s="333" t="n"/>
      <c r="J13" s="91" t="n"/>
    </row>
    <row r="14">
      <c r="B14" s="89" t="n"/>
      <c r="C14" s="74" t="inlineStr">
        <is>
          <t>PV of Terminal Value</t>
        </is>
      </c>
      <c r="E14" s="229" t="n"/>
      <c r="F14" s="229" t="n"/>
      <c r="G14" s="229" t="n"/>
      <c r="H14" s="230" t="inlineStr">
        <is>
          <t>=</t>
        </is>
      </c>
      <c r="I14" s="336">
        <f>I12/(1+D16)^5</f>
        <v/>
      </c>
      <c r="J14" s="91" t="n"/>
    </row>
    <row r="15">
      <c r="B15" s="89" t="n"/>
      <c r="E15" s="228" t="n"/>
      <c r="F15" s="228" t="n"/>
      <c r="G15" s="228" t="n"/>
      <c r="H15" s="228" t="n"/>
      <c r="I15" s="228" t="n"/>
      <c r="J15" s="91" t="n"/>
    </row>
    <row r="16">
      <c r="B16" s="89" t="n"/>
      <c r="C16" s="74" t="inlineStr">
        <is>
          <t>Discount Rate (IRR)</t>
        </is>
      </c>
      <c r="D16" s="337" t="n">
        <v>0.15</v>
      </c>
      <c r="J16" s="91" t="n"/>
    </row>
    <row r="17">
      <c r="B17" s="89" t="n"/>
      <c r="D17" s="103" t="n"/>
      <c r="J17" s="91" t="n"/>
    </row>
    <row r="18">
      <c r="B18" s="89" t="n"/>
      <c r="C18" s="74" t="inlineStr">
        <is>
          <t>Terminal Growth Rate</t>
        </is>
      </c>
      <c r="D18" s="337" t="n">
        <v>0.04</v>
      </c>
      <c r="J18" s="91" t="n"/>
    </row>
    <row r="19">
      <c r="B19" s="89" t="n"/>
      <c r="J19" s="91" t="n"/>
    </row>
    <row r="20">
      <c r="B20" s="89" t="n"/>
      <c r="C20" s="11" t="inlineStr">
        <is>
          <t>Equity Value</t>
        </is>
      </c>
      <c r="D20" s="336">
        <f>SUM(E10:I10,I14)</f>
        <v/>
      </c>
      <c r="J20" s="91" t="n"/>
    </row>
    <row r="21">
      <c r="B21" s="89" t="n"/>
      <c r="C21" s="11" t="inlineStr">
        <is>
          <t>(+) Net Debt</t>
        </is>
      </c>
      <c r="D21" s="64" t="n">
        <v>195</v>
      </c>
      <c r="J21" s="91" t="n"/>
    </row>
    <row r="22">
      <c r="B22" s="89" t="n"/>
      <c r="C22" s="8" t="inlineStr">
        <is>
          <t>Enterprise Value</t>
        </is>
      </c>
      <c r="D22" s="338">
        <f>SUM(D20:D21)</f>
        <v/>
      </c>
      <c r="F22" s="74" t="inlineStr">
        <is>
          <t>432 bid</t>
        </is>
      </c>
      <c r="J22" s="91" t="n"/>
    </row>
    <row r="23">
      <c r="B23" s="147" t="n"/>
      <c r="C23" s="36" t="n"/>
      <c r="D23" s="37" t="n"/>
      <c r="E23" s="37" t="n"/>
      <c r="F23" s="37" t="n"/>
      <c r="G23" s="37" t="n"/>
      <c r="H23" s="152" t="n"/>
      <c r="I23" s="152" t="n"/>
      <c r="J23" s="38" t="n"/>
      <c r="K23" s="339" t="n"/>
    </row>
    <row r="24">
      <c r="C24" s="74" t="inlineStr">
        <is>
          <t>MOIC</t>
        </is>
      </c>
      <c r="D24" s="74">
        <f>(1+D16)^5</f>
        <v/>
      </c>
    </row>
    <row r="25">
      <c r="C25" s="74" t="inlineStr">
        <is>
          <t>With their offer, current hurdle is</t>
        </is>
      </c>
    </row>
  </sheetData>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Karesa Hui</dc:creator>
  <dcterms:created xmlns:dcterms="http://purl.org/dc/terms/" xmlns:xsi="http://www.w3.org/2001/XMLSchema-instance" xsi:type="dcterms:W3CDTF">2019-03-17T07:27:54Z</dcterms:created>
  <dcterms:modified xmlns:dcterms="http://purl.org/dc/terms/" xmlns:xsi="http://www.w3.org/2001/XMLSchema-instance" xsi:type="dcterms:W3CDTF">2026-06-28T00:41:23Z</dcterms:modified>
  <cp:lastModifiedBy>Karesa Hui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0x010100DB3155073D5EFA4EAF949B06A2D25F86</vt:lpwstr>
  </property>
  <property name="MediaServiceImageTags" fmtid="{D5CDD505-2E9C-101B-9397-08002B2CF9AE}" pid="3">
    <vt:lpwstr xmlns:vt="http://schemas.openxmlformats.org/officeDocument/2006/docPropsVTypes"/>
  </property>
</Properties>
</file>